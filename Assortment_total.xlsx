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laume/dh-crm/"/>
    </mc:Choice>
  </mc:AlternateContent>
  <xr:revisionPtr revIDLastSave="0" documentId="8_{42B29827-38B7-2747-9234-4A4A4BA16254}" xr6:coauthVersionLast="47" xr6:coauthVersionMax="47" xr10:uidLastSave="{00000000-0000-0000-0000-000000000000}"/>
  <bookViews>
    <workbookView xWindow="5580" yWindow="7000" windowWidth="22840" windowHeight="10440" xr2:uid="{1DEE3F83-5DE8-DE43-9E2A-47AE4A4025AD}"/>
  </bookViews>
  <sheets>
    <sheet name="Products" sheetId="1" r:id="rId1"/>
  </sheets>
  <definedNames>
    <definedName name="_xlnm._FilterDatabase" localSheetId="0" hidden="1">Products!$A$2:$U$163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3" i="1" l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<sst xmlns="http://schemas.openxmlformats.org/spreadsheetml/2006/main" count="2076" uniqueCount="633">
  <si>
    <t>SKU *</t>
  </si>
  <si>
    <t>Fixmer Reference</t>
  </si>
  <si>
    <t>Full Name *</t>
  </si>
  <si>
    <t>Brand *</t>
  </si>
  <si>
    <t>Line</t>
  </si>
  <si>
    <t>Vitola</t>
  </si>
  <si>
    <t>Shape</t>
  </si>
  <si>
    <t>Dimensions</t>
  </si>
  <si>
    <t>Wrapper</t>
  </si>
  <si>
    <t>Net Weight (g)</t>
  </si>
  <si>
    <t>Length (inches)</t>
  </si>
  <si>
    <t>Ring Gauge</t>
  </si>
  <si>
    <t>Pack Type</t>
  </si>
  <si>
    <t>Units/Pack</t>
  </si>
  <si>
    <t>COGS</t>
  </si>
  <si>
    <t>GTIN</t>
  </si>
  <si>
    <t>EU CEG ID</t>
  </si>
  <si>
    <t>Status *</t>
  </si>
  <si>
    <t>Product Role *</t>
  </si>
  <si>
    <t>Market Availability</t>
  </si>
  <si>
    <t>Notes</t>
  </si>
  <si>
    <t>e.g. NICLA6-MIN-B20</t>
  </si>
  <si>
    <t>Fixmer article ref</t>
  </si>
  <si>
    <t>Full product name</t>
  </si>
  <si>
    <t>Brand name</t>
  </si>
  <si>
    <t>Product line</t>
  </si>
  <si>
    <t>Vitola name</t>
  </si>
  <si>
    <t>e.g. Round, Pointed, Figurado</t>
  </si>
  <si>
    <t>e.g. 5.0 x 52</t>
  </si>
  <si>
    <t>Wrapper type</t>
  </si>
  <si>
    <t>Net weight per unit (g)</t>
  </si>
  <si>
    <t>Length in inches</t>
  </si>
  <si>
    <t>Ring gauge</t>
  </si>
  <si>
    <t>e.g. Box, Bndl, Pack</t>
  </si>
  <si>
    <t>Units per pack</t>
  </si>
  <si>
    <t>Cost of goods sold</t>
  </si>
  <si>
    <t>Barcode (GTIN)</t>
  </si>
  <si>
    <t>EU CEG registration ID</t>
  </si>
  <si>
    <t>active / inactive</t>
  </si>
  <si>
    <t>original / sample / foc</t>
  </si>
  <si>
    <t>e.g. EU, NO, CH</t>
  </si>
  <si>
    <t>Internal notes</t>
  </si>
  <si>
    <t>DH-ROB-P5</t>
  </si>
  <si>
    <t>C01358</t>
  </si>
  <si>
    <t>DH Cigar Sampler Robusto Pack5</t>
  </si>
  <si>
    <t>DH Cigar Sampler</t>
  </si>
  <si>
    <t>Clasico</t>
  </si>
  <si>
    <t>Robusto Pack5</t>
  </si>
  <si>
    <t>Round</t>
  </si>
  <si>
    <t>Misc.</t>
  </si>
  <si>
    <t>Pack</t>
  </si>
  <si>
    <t>Pack of 5 elements</t>
  </si>
  <si>
    <t>inactive</t>
  </si>
  <si>
    <t>original</t>
  </si>
  <si>
    <t>FUR-ALE-B10</t>
  </si>
  <si>
    <t>C00592</t>
  </si>
  <si>
    <t>Furia Alecto B10</t>
  </si>
  <si>
    <t>Furia</t>
  </si>
  <si>
    <t>Alecto B10</t>
  </si>
  <si>
    <t>Hab. Equador</t>
  </si>
  <si>
    <t>Box</t>
  </si>
  <si>
    <t>00903-17-03201</t>
  </si>
  <si>
    <t>active</t>
  </si>
  <si>
    <t>FUR-MEG-B10</t>
  </si>
  <si>
    <t>C00591</t>
  </si>
  <si>
    <t>Furia Megaera B10</t>
  </si>
  <si>
    <t>Megaera B10</t>
  </si>
  <si>
    <t>00903-17-03202</t>
  </si>
  <si>
    <t>FURBL-INA-B10</t>
  </si>
  <si>
    <t>C01271</t>
  </si>
  <si>
    <t>Furia Reserva Inanna1 B10</t>
  </si>
  <si>
    <t>Reserva</t>
  </si>
  <si>
    <t>Inanna1 B10</t>
  </si>
  <si>
    <t>Hab.</t>
  </si>
  <si>
    <t>00903-23-03001</t>
  </si>
  <si>
    <t>FURBL-INA-S2-B10</t>
  </si>
  <si>
    <t>C01364</t>
  </si>
  <si>
    <t>Furia Reserva Inanna2 B10</t>
  </si>
  <si>
    <t>Inanna2 B10</t>
  </si>
  <si>
    <t>FUR-TIS-B10</t>
  </si>
  <si>
    <t>C00599</t>
  </si>
  <si>
    <t>Furia Tisiphone B10</t>
  </si>
  <si>
    <t>Tisiphone B10</t>
  </si>
  <si>
    <t>00903-17-03203</t>
  </si>
  <si>
    <t>LL-CAN-B21</t>
  </si>
  <si>
    <t>C00608</t>
  </si>
  <si>
    <t>La Ley Canonazo B21</t>
  </si>
  <si>
    <t>La Ley</t>
  </si>
  <si>
    <t>Canonazo B21</t>
  </si>
  <si>
    <t>Hab. Rosado</t>
  </si>
  <si>
    <t>00903-16-02103</t>
  </si>
  <si>
    <t>LL-CAN-M21</t>
  </si>
  <si>
    <t>C01822</t>
  </si>
  <si>
    <t>La Ley Canonazo Bndl21</t>
  </si>
  <si>
    <t>Canonazo Bndl21</t>
  </si>
  <si>
    <t>Bndl</t>
  </si>
  <si>
    <t>LL-MAR-B21</t>
  </si>
  <si>
    <t>C00298</t>
  </si>
  <si>
    <t>La Ley Mareva B21</t>
  </si>
  <si>
    <t>Mareva B21</t>
  </si>
  <si>
    <t>00903-16-02101</t>
  </si>
  <si>
    <t>LL-MAR-M21</t>
  </si>
  <si>
    <t>C01750</t>
  </si>
  <si>
    <t>La Ley Mareva Bndl21</t>
  </si>
  <si>
    <t>Mareva Bndl21</t>
  </si>
  <si>
    <t>LLRES-CG-B21</t>
  </si>
  <si>
    <t>C01824</t>
  </si>
  <si>
    <t>La Ley Reserva Corona Gorda B21</t>
  </si>
  <si>
    <t>Corona Gorda B21</t>
  </si>
  <si>
    <t>F2</t>
  </si>
  <si>
    <t>00903-17-02003</t>
  </si>
  <si>
    <t>LLRES-EXQ-B21</t>
  </si>
  <si>
    <t>C00830</t>
  </si>
  <si>
    <t>La Ley Reserva Exquisito B21</t>
  </si>
  <si>
    <t>Exquisito B21</t>
  </si>
  <si>
    <t>Hab. Oscuro</t>
  </si>
  <si>
    <t>00903-17-02001</t>
  </si>
  <si>
    <t>LLRES-LAG6-B21</t>
  </si>
  <si>
    <t>C00843</t>
  </si>
  <si>
    <t>La Ley Reserva Laguito 6 B21</t>
  </si>
  <si>
    <t>Laguito 6 B21</t>
  </si>
  <si>
    <t>00903-17-02002</t>
  </si>
  <si>
    <t>LL-ROB-B21</t>
  </si>
  <si>
    <t>C00299</t>
  </si>
  <si>
    <t>La Ley Robusto B21</t>
  </si>
  <si>
    <t>Robusto B21</t>
  </si>
  <si>
    <t>00903-16-02102</t>
  </si>
  <si>
    <t>LL-ROB-M21</t>
  </si>
  <si>
    <t>C01821</t>
  </si>
  <si>
    <t>La Ley Robusto Bndl21</t>
  </si>
  <si>
    <t>Robusto Bndl21</t>
  </si>
  <si>
    <t>LL-MAR-M10</t>
  </si>
  <si>
    <t>C01327</t>
  </si>
  <si>
    <t>Mareva Bndl10</t>
  </si>
  <si>
    <t>Mareva</t>
  </si>
  <si>
    <t>LP-452-B16</t>
  </si>
  <si>
    <t>C00845</t>
  </si>
  <si>
    <t>La Preferida 452 B16</t>
  </si>
  <si>
    <t>La Preferida</t>
  </si>
  <si>
    <t>452 B16</t>
  </si>
  <si>
    <t>00903-17-04101</t>
  </si>
  <si>
    <t>LP-452-M10</t>
  </si>
  <si>
    <t>C01743</t>
  </si>
  <si>
    <t>La Preferida 452 Bndl10</t>
  </si>
  <si>
    <t>452 Bndl10</t>
  </si>
  <si>
    <t>LP-452-M16</t>
  </si>
  <si>
    <t>C01742</t>
  </si>
  <si>
    <t>La Preferida 452 Bndl16</t>
  </si>
  <si>
    <t>452 Bndl16</t>
  </si>
  <si>
    <t>LP-552-B16</t>
  </si>
  <si>
    <t>C00846</t>
  </si>
  <si>
    <t>La Preferida 552 B16</t>
  </si>
  <si>
    <t>552 B16</t>
  </si>
  <si>
    <t>00903-17-04102</t>
  </si>
  <si>
    <t>LP-552-M10</t>
  </si>
  <si>
    <t>C01740</t>
  </si>
  <si>
    <t>La Preferida 552 Bndl10</t>
  </si>
  <si>
    <t>552 Bndl10</t>
  </si>
  <si>
    <t>LP-552-M16</t>
  </si>
  <si>
    <t>C01739</t>
  </si>
  <si>
    <t>La Preferida 552 Bndl16</t>
  </si>
  <si>
    <t>552 Bndl16</t>
  </si>
  <si>
    <t>LP-652-B16</t>
  </si>
  <si>
    <t>C00998</t>
  </si>
  <si>
    <t>La Preferida 652 B16</t>
  </si>
  <si>
    <t>652 B16</t>
  </si>
  <si>
    <t>00903-19-04103</t>
  </si>
  <si>
    <t>LP-652-M10</t>
  </si>
  <si>
    <t>C01883</t>
  </si>
  <si>
    <t>La Preferida 652 Bndl10</t>
  </si>
  <si>
    <t>652 Bndl10</t>
  </si>
  <si>
    <t>00903-17-04103</t>
  </si>
  <si>
    <t>LP-652-M16</t>
  </si>
  <si>
    <t>C01738</t>
  </si>
  <si>
    <t>La Preferida 652 Bndl16</t>
  </si>
  <si>
    <t>652 Bndl16</t>
  </si>
  <si>
    <t>NICLA6-GOR-B20</t>
  </si>
  <si>
    <t>C00672</t>
  </si>
  <si>
    <t>Nicarao Clasico ANNO VI Gordito B20</t>
  </si>
  <si>
    <t>Nicarao</t>
  </si>
  <si>
    <t>Clasico Anno VI</t>
  </si>
  <si>
    <t>Gordito B20</t>
  </si>
  <si>
    <t>00903-16-01103</t>
  </si>
  <si>
    <t>NICLA6-GOR-M20</t>
  </si>
  <si>
    <t>C01737</t>
  </si>
  <si>
    <t>Nicarao Clasico ANNO VI Gordito Bndl20</t>
  </si>
  <si>
    <t>Gordito Bndl20</t>
  </si>
  <si>
    <t>NICLA6-JUA-B20</t>
  </si>
  <si>
    <t>C01736</t>
  </si>
  <si>
    <t>Nicarao Clasico ANNO VI Juanito B20</t>
  </si>
  <si>
    <t>Juanito B20</t>
  </si>
  <si>
    <t>Pointed</t>
  </si>
  <si>
    <t>00903-19-01102</t>
  </si>
  <si>
    <t>NICLA6-JUL-B20</t>
  </si>
  <si>
    <t>C00669</t>
  </si>
  <si>
    <t>Nicarao Clasico ANNO VI Julieta B20</t>
  </si>
  <si>
    <t>Julieta B20</t>
  </si>
  <si>
    <t>00903-16-01106</t>
  </si>
  <si>
    <t>NICLA6-MIN-B20</t>
  </si>
  <si>
    <t>C00154</t>
  </si>
  <si>
    <t>Nicarao Clasico ANNO VI Minuto B20</t>
  </si>
  <si>
    <t>Minuto B20</t>
  </si>
  <si>
    <t>00903-16-01101</t>
  </si>
  <si>
    <t>NICLA6-MIN-M20</t>
  </si>
  <si>
    <t>C01733</t>
  </si>
  <si>
    <t>Nicarao Clasico ANNO VI Minuto Bndl20</t>
  </si>
  <si>
    <t>Minuto Bndl20</t>
  </si>
  <si>
    <t>NICLA6-PIR-B20</t>
  </si>
  <si>
    <t>C00157</t>
  </si>
  <si>
    <t>Nicarao Clasico ANNO VI Piramide B20</t>
  </si>
  <si>
    <t>Piramide B20</t>
  </si>
  <si>
    <t>00903-16-01105</t>
  </si>
  <si>
    <t>NICLA6-ROB-B20</t>
  </si>
  <si>
    <t>C00156</t>
  </si>
  <si>
    <t>Nicarao Clasico ANNO VI Robusto B20</t>
  </si>
  <si>
    <t>Robusto B20</t>
  </si>
  <si>
    <t>00903-16-01104</t>
  </si>
  <si>
    <t>NICLA6-ROB-M10</t>
  </si>
  <si>
    <t>C01186</t>
  </si>
  <si>
    <t>Nicarao Clasico ANNO VI Robusto Bndl10</t>
  </si>
  <si>
    <t>Robusto Bndl10</t>
  </si>
  <si>
    <t>NIES-GOR-B21</t>
  </si>
  <si>
    <t>C00670</t>
  </si>
  <si>
    <t>Nicarao Especial Gordo B21</t>
  </si>
  <si>
    <t>Especial</t>
  </si>
  <si>
    <t>Gordo B21</t>
  </si>
  <si>
    <t>00903-16-01204</t>
  </si>
  <si>
    <t>NIES-GOR-M10</t>
  </si>
  <si>
    <t>C01882</t>
  </si>
  <si>
    <t>Nicarao Especial Gordo Bndl10</t>
  </si>
  <si>
    <t>Gordo Bndl10</t>
  </si>
  <si>
    <t>NIES-HER-B21</t>
  </si>
  <si>
    <t>C00886</t>
  </si>
  <si>
    <t>Nicarao Especial Hermoso B21</t>
  </si>
  <si>
    <t>Hermoso B21</t>
  </si>
  <si>
    <t>00903-16-01201</t>
  </si>
  <si>
    <t>NIES-PTSAL-B21</t>
  </si>
  <si>
    <t>C01724</t>
  </si>
  <si>
    <t>Nicarao Especial Petit Salomon B21</t>
  </si>
  <si>
    <t>Petit Salomon B21</t>
  </si>
  <si>
    <t>Figurado</t>
  </si>
  <si>
    <t>00903-16-01203</t>
  </si>
  <si>
    <t>NIES-TORI-B21</t>
  </si>
  <si>
    <t>C00215</t>
  </si>
  <si>
    <t>Nicarao Especial Torito B21</t>
  </si>
  <si>
    <t>Torito B21</t>
  </si>
  <si>
    <t>00903-16-01202</t>
  </si>
  <si>
    <t>NIES-TORI-M10</t>
  </si>
  <si>
    <t>C01299</t>
  </si>
  <si>
    <t>Nicarao Especial Torito Bndl10</t>
  </si>
  <si>
    <t>Torito Bndl10</t>
  </si>
  <si>
    <t>NIES-TORO-B21</t>
  </si>
  <si>
    <t>C00159</t>
  </si>
  <si>
    <t>Nicarao Especial Toro B21</t>
  </si>
  <si>
    <t>Toro B21</t>
  </si>
  <si>
    <t>00903-16-01205</t>
  </si>
  <si>
    <t>NIES-TORO-M10</t>
  </si>
  <si>
    <t>C01719</t>
  </si>
  <si>
    <t>Nicarao Especial Toro Bndl10</t>
  </si>
  <si>
    <t>Toro Bndl10</t>
  </si>
  <si>
    <t>NIES-TODO-B21</t>
  </si>
  <si>
    <t>C00217</t>
  </si>
  <si>
    <t>Nicarao Especial Toro Doble B21</t>
  </si>
  <si>
    <t>Toro Doble B21</t>
  </si>
  <si>
    <t>00903-16-01206</t>
  </si>
  <si>
    <t>NIES-TODO-M10</t>
  </si>
  <si>
    <t>C01722</t>
  </si>
  <si>
    <t>Nicarao Especial Toro Doble Bndl10</t>
  </si>
  <si>
    <t>Toro Doble Bndl10</t>
  </si>
  <si>
    <t>NIEX-DIA-B20</t>
  </si>
  <si>
    <t>C01064</t>
  </si>
  <si>
    <t>Nicarao Exclusivo Diadema B20</t>
  </si>
  <si>
    <t>Exclusivo</t>
  </si>
  <si>
    <t>Diadema B20</t>
  </si>
  <si>
    <t>Maduro</t>
  </si>
  <si>
    <t>00903-16-01308</t>
  </si>
  <si>
    <t>NIEX-DONR-B20</t>
  </si>
  <si>
    <t>C00575</t>
  </si>
  <si>
    <t>Nicarao Exclusivo Don Rafa B20</t>
  </si>
  <si>
    <t>Don Rafa B20</t>
  </si>
  <si>
    <t>00903-16-01304</t>
  </si>
  <si>
    <t>NIEX-E4-B20</t>
  </si>
  <si>
    <t>C00887</t>
  </si>
  <si>
    <t>Nicarao Exclusivo E4 B20</t>
  </si>
  <si>
    <t>E4 B20</t>
  </si>
  <si>
    <t>00903-16-01302</t>
  </si>
  <si>
    <t>NIEX-ROBEX-B20</t>
  </si>
  <si>
    <t>C00201</t>
  </si>
  <si>
    <t>Nicarao Exclusivo Robusto Extra B20</t>
  </si>
  <si>
    <t>Robusto Extra B20</t>
  </si>
  <si>
    <t>00903-16-01303</t>
  </si>
  <si>
    <t>NIEX-ROD-B20</t>
  </si>
  <si>
    <t>C01709</t>
  </si>
  <si>
    <t>Nicarao Exclusivo Rodolfo B20</t>
  </si>
  <si>
    <t>Rodolfo B20</t>
  </si>
  <si>
    <t>00903-16-01305</t>
  </si>
  <si>
    <t>NIEX-ROM-B20</t>
  </si>
  <si>
    <t>C01707</t>
  </si>
  <si>
    <t>Nicarao Exclusivo Romeo B20</t>
  </si>
  <si>
    <t>Romeo B20</t>
  </si>
  <si>
    <t>00903-16-01301</t>
  </si>
  <si>
    <t>NIEX-SAL-B20</t>
  </si>
  <si>
    <t>C01705</t>
  </si>
  <si>
    <t>Nicarao Exclusivo Salomon B20</t>
  </si>
  <si>
    <t>Salomon B20</t>
  </si>
  <si>
    <t>00903-16-01306</t>
  </si>
  <si>
    <t>NIESRES-ROB-B21</t>
  </si>
  <si>
    <t>C00844</t>
  </si>
  <si>
    <t>Nicarao Reserva Especial Robusto B21</t>
  </si>
  <si>
    <t>Especial Robusto B21</t>
  </si>
  <si>
    <t>00903-17-01006</t>
  </si>
  <si>
    <t>NIEXRES-LAN-B21</t>
  </si>
  <si>
    <t>C00158</t>
  </si>
  <si>
    <t>Nicarao Reserva Exclusivo Lancero B21</t>
  </si>
  <si>
    <t>Exclusivo Lancero B21</t>
  </si>
  <si>
    <t>Rosada Oscuro</t>
  </si>
  <si>
    <t>00903-24-01007</t>
  </si>
  <si>
    <t>NIESRES-ROB-B21-R2016-AG19</t>
  </si>
  <si>
    <t>C01881</t>
  </si>
  <si>
    <t>Nicarao Reserva Especial 2016 Robusto Box 21</t>
  </si>
  <si>
    <t>Robusto R2016 B21</t>
  </si>
  <si>
    <t>21</t>
  </si>
  <si>
    <t>aged</t>
  </si>
  <si>
    <t>NIR2016-ESROB-M10-R2016-AG19</t>
  </si>
  <si>
    <t>C01701</t>
  </si>
  <si>
    <t>Nicarao Reserva Especial 2016 Robusto Bundle 10</t>
  </si>
  <si>
    <t>Robusto R2016 Bndl 10</t>
  </si>
  <si>
    <t>Bundle</t>
  </si>
  <si>
    <t>NIR2015-ESROB-M10-R2015-AG15</t>
  </si>
  <si>
    <t>C01703</t>
  </si>
  <si>
    <t>Nicarao Reserva Especial 2015 Robusto Bundle 10</t>
  </si>
  <si>
    <t>Robusto R2015 Bndl 10</t>
  </si>
  <si>
    <t>NIR2015-ESROB-B21-R2015-AG18</t>
  </si>
  <si>
    <t>C01704</t>
  </si>
  <si>
    <t>Nicarao Reserva Especial 2015 Robusto Box 21</t>
  </si>
  <si>
    <t>Robusto R2015 B21</t>
  </si>
  <si>
    <t>NIR2014-EXSER-DIS8-R2014-AG14</t>
  </si>
  <si>
    <t>C01791</t>
  </si>
  <si>
    <t>Nicarao Reserva Series Extra R2014 Display 8</t>
  </si>
  <si>
    <t>Extra R2014 Disp8</t>
  </si>
  <si>
    <t>00903-16-01004</t>
  </si>
  <si>
    <t>NIR2014-ROBSER-DIS12-R2014-AG14</t>
  </si>
  <si>
    <t>C01789</t>
  </si>
  <si>
    <t>Nicarao Reserva Series Robusto R2014 Display 12</t>
  </si>
  <si>
    <t>Robusto R2014 Disp12</t>
  </si>
  <si>
    <t>12</t>
  </si>
  <si>
    <t>00903-16-01005</t>
  </si>
  <si>
    <t>NIR2014-ROBEX-CE9-R2014-AG14</t>
  </si>
  <si>
    <t>C01790</t>
  </si>
  <si>
    <t>Nicarao Reserva Series Robusto R2014 Cajita 9</t>
  </si>
  <si>
    <t>Robusto R2014 Caj9</t>
  </si>
  <si>
    <t>00903-16-01001</t>
  </si>
  <si>
    <t>NIEX-SAL-B20-AG19</t>
  </si>
  <si>
    <t>C01880</t>
  </si>
  <si>
    <t>Nicarao Exclusivo Salomon Box 20</t>
  </si>
  <si>
    <t>20</t>
  </si>
  <si>
    <t>NIEX-ROM-BP50-AG16</t>
  </si>
  <si>
    <t>C01879</t>
  </si>
  <si>
    <t>Nicarao Exclusivo Romeo Box 50</t>
  </si>
  <si>
    <t>Romeo B50</t>
  </si>
  <si>
    <t>50</t>
  </si>
  <si>
    <t>NIEX-ROM-BP50-AG13</t>
  </si>
  <si>
    <t>NIEX-ROM-B20-AG13</t>
  </si>
  <si>
    <t>C01876</t>
  </si>
  <si>
    <t>Nicarao Exclusivo Romeo Box 20</t>
  </si>
  <si>
    <t>NIEX-ROM-B20-AG16</t>
  </si>
  <si>
    <t>NIEX-ROM-B20-AG18</t>
  </si>
  <si>
    <t>NIEX-ROD-B20-AG19</t>
  </si>
  <si>
    <t>C01875</t>
  </si>
  <si>
    <t>Nicarao Exclusivo Rodolfo Box 20</t>
  </si>
  <si>
    <t>NIEX-ROD-BP50-AG13</t>
  </si>
  <si>
    <t>C01708</t>
  </si>
  <si>
    <t>Nicarao Exclusivo Rodolfo Box 50</t>
  </si>
  <si>
    <t>Rodolfo B50</t>
  </si>
  <si>
    <t>NIEX-DONR-B10-AG16</t>
  </si>
  <si>
    <t>C01716</t>
  </si>
  <si>
    <t>Nicarao Exclusivo Don Rafa Box 10</t>
  </si>
  <si>
    <t>Don Rafa B10</t>
  </si>
  <si>
    <t>10</t>
  </si>
  <si>
    <t>NIEX-DONR-B20-AG19</t>
  </si>
  <si>
    <t>C01871</t>
  </si>
  <si>
    <t>Nicarao Exclusivo Don Rafa Box 20</t>
  </si>
  <si>
    <t>NIEX-ROBEX-BP50-AG16</t>
  </si>
  <si>
    <t>C01711</t>
  </si>
  <si>
    <t>Nicarao Exclusivo Robusto Extra Box 50</t>
  </si>
  <si>
    <t>Robusto Extra B50</t>
  </si>
  <si>
    <t>NIEX-E4-BP50-AG16</t>
  </si>
  <si>
    <t>C01713</t>
  </si>
  <si>
    <t>Nicarao Exclusivo E4 Box 50</t>
  </si>
  <si>
    <t>E4 B50</t>
  </si>
  <si>
    <t>NIEX-E4-B20-AG18</t>
  </si>
  <si>
    <t>C01872</t>
  </si>
  <si>
    <t>Nicarao Exclusivo E4 Box 20</t>
  </si>
  <si>
    <t>NIEX-E4-B20-AG19</t>
  </si>
  <si>
    <t>NIEX-E4-B10-AG16</t>
  </si>
  <si>
    <t>C01714</t>
  </si>
  <si>
    <t>Nicarao Exclusivo E4 Box 10</t>
  </si>
  <si>
    <t>E4 B10</t>
  </si>
  <si>
    <t>NIEX-E4-M20-AG17</t>
  </si>
  <si>
    <t>C01712</t>
  </si>
  <si>
    <t>Nicarao Exclusivo E4 Bundle 20</t>
  </si>
  <si>
    <t>E4 Bndl20</t>
  </si>
  <si>
    <t>NIEX-ROBEX-M20-AG16</t>
  </si>
  <si>
    <t>C01710</t>
  </si>
  <si>
    <t>Nicarao Exclusivo Robusto Extra Bundle 20</t>
  </si>
  <si>
    <t>Robusto Extra Bndl20</t>
  </si>
  <si>
    <t>NIES-TODO-M20-AG17</t>
  </si>
  <si>
    <t>C01793</t>
  </si>
  <si>
    <t>Nicarao Especial Toro Doble Bundle 20</t>
  </si>
  <si>
    <t>Toro Doble Bndl20</t>
  </si>
  <si>
    <t>NIES-TODO-M20-AG15</t>
  </si>
  <si>
    <t>NIES-TODO-M20-AG16</t>
  </si>
  <si>
    <t>NIES-TORO-M20-AG16</t>
  </si>
  <si>
    <t>C01718</t>
  </si>
  <si>
    <t>Nicarao Especial Toro Bundle 20</t>
  </si>
  <si>
    <t>Toro Bndl20</t>
  </si>
  <si>
    <t>NIES-TORO-M20-AG13</t>
  </si>
  <si>
    <t>NIES-TORO-B21-AG19</t>
  </si>
  <si>
    <t>C01836</t>
  </si>
  <si>
    <t>Nicarao Especial Toro Box 21</t>
  </si>
  <si>
    <t>NIES-TORO-B21-AG20</t>
  </si>
  <si>
    <t>NIES-TORI-B14-AG14</t>
  </si>
  <si>
    <t>C01721</t>
  </si>
  <si>
    <t>Nicarao Especial Torito Box 14</t>
  </si>
  <si>
    <t>Torito B14</t>
  </si>
  <si>
    <t>14</t>
  </si>
  <si>
    <t>NIES-TORI-B21-AG18</t>
  </si>
  <si>
    <t>C01834</t>
  </si>
  <si>
    <t>Nicarao Especial Torito Box 21</t>
  </si>
  <si>
    <t>NIES-TORI-B21-AG19</t>
  </si>
  <si>
    <t>NIES-TODO-B14-AG14</t>
  </si>
  <si>
    <t>C01723</t>
  </si>
  <si>
    <t>Nicarao Especial Toro Doble Box 14</t>
  </si>
  <si>
    <t>Toro Doble B14</t>
  </si>
  <si>
    <t>NIES-TODO-B14-AG13</t>
  </si>
  <si>
    <t>NIES-TODO-B21-AG19</t>
  </si>
  <si>
    <t>C01840</t>
  </si>
  <si>
    <t>Nicarao Especial Toro Doble Box 21</t>
  </si>
  <si>
    <t>NIEX-DONR-BP50-AG16</t>
  </si>
  <si>
    <t>C01715</t>
  </si>
  <si>
    <t>Nicarao Exclusivo Don Rafa Box 50</t>
  </si>
  <si>
    <t>Don Rafa B50</t>
  </si>
  <si>
    <t>NIEX-DIA-B20-AG19</t>
  </si>
  <si>
    <t>C01870</t>
  </si>
  <si>
    <t>Nicarao Exclusivo Diadema Box 20</t>
  </si>
  <si>
    <t>NIES-PTSAL-B21-AG18</t>
  </si>
  <si>
    <t>C01725</t>
  </si>
  <si>
    <t>Nicarao Especial Petit Salomon Box 21</t>
  </si>
  <si>
    <t>NIES-PTSAL-BP50-AG18</t>
  </si>
  <si>
    <t>C01846</t>
  </si>
  <si>
    <t>Nicarao Especial Petit Salomon Box 50</t>
  </si>
  <si>
    <t>Petit Salomon B50</t>
  </si>
  <si>
    <t>NIES-PTSAL-B14-AG14</t>
  </si>
  <si>
    <t>C01727</t>
  </si>
  <si>
    <t>Nicarao Especial Petit Salomon Box 14</t>
  </si>
  <si>
    <t>Petit Salomon B14</t>
  </si>
  <si>
    <t>NIES-TORI-M20-AG16</t>
  </si>
  <si>
    <t>C01792</t>
  </si>
  <si>
    <t>Nicarao Especial Torito Bundle 20</t>
  </si>
  <si>
    <t>Torito Bndl20</t>
  </si>
  <si>
    <t>NIES-HER-B21-AG17</t>
  </si>
  <si>
    <t>C01831</t>
  </si>
  <si>
    <t>Nicarao Especial Hermoso Box 21</t>
  </si>
  <si>
    <t>NIES-HER-B21-AG22</t>
  </si>
  <si>
    <t>NIES-HER-B14-AG14</t>
  </si>
  <si>
    <t>C01847</t>
  </si>
  <si>
    <t>Nicarao Especial Hermoso Box 14</t>
  </si>
  <si>
    <t>Hermoso B14</t>
  </si>
  <si>
    <t>NIES-HER-M20-AG16</t>
  </si>
  <si>
    <t>C01794</t>
  </si>
  <si>
    <t>Nicarao Especial Hermoso Bundle 20</t>
  </si>
  <si>
    <t>Hermoso Bndl20</t>
  </si>
  <si>
    <t>NIES-HER-M20-AG13</t>
  </si>
  <si>
    <t>NIES-HER-M20-AG17</t>
  </si>
  <si>
    <t>NIES-GOR-B14-AG16</t>
  </si>
  <si>
    <t>C01729</t>
  </si>
  <si>
    <t>Nicarao Especial Gordo Box 14</t>
  </si>
  <si>
    <t>Gordo B14</t>
  </si>
  <si>
    <t>NIES-GOR-B21-AG19</t>
  </si>
  <si>
    <t>C01830</t>
  </si>
  <si>
    <t>Nicarao Especial Gordo Box 21</t>
  </si>
  <si>
    <t>LP-552-B16-AG19</t>
  </si>
  <si>
    <t>C01861</t>
  </si>
  <si>
    <t>La Preferida 5.52 Box 16</t>
  </si>
  <si>
    <t>16</t>
  </si>
  <si>
    <t>LLR2017-EXQ-M10-R2017-AG19</t>
  </si>
  <si>
    <t>C01796</t>
  </si>
  <si>
    <t>La Ley Reserva Exquisito 2017 Bundle 10</t>
  </si>
  <si>
    <t>Exquisito 2017 Bndl10</t>
  </si>
  <si>
    <t>LLR2017-EXQ-B21-R2017-AG19</t>
  </si>
  <si>
    <t>C01745</t>
  </si>
  <si>
    <t>La Ley Reserva Exquisito 2017 Box 21</t>
  </si>
  <si>
    <t>Exquisito 2017 B21</t>
  </si>
  <si>
    <t>NICLA6-ROB-M20-AG16</t>
  </si>
  <si>
    <t>C01730</t>
  </si>
  <si>
    <t>Nicarao Clasico Robusto Bundle 20</t>
  </si>
  <si>
    <t>Robusto Bndl20</t>
  </si>
  <si>
    <t>NICLA6-PIR-M20-AG16</t>
  </si>
  <si>
    <t>C01732</t>
  </si>
  <si>
    <t>Nicarao Clasico Piramide Bundle 20</t>
  </si>
  <si>
    <t>LP-652-B16-AG19</t>
  </si>
  <si>
    <t>C01863</t>
  </si>
  <si>
    <t>La Preferida 6.52 Box 16</t>
  </si>
  <si>
    <t>LP-452-B16-AG18</t>
  </si>
  <si>
    <t>C01859</t>
  </si>
  <si>
    <t>La Preferida 4.52 Box 16</t>
  </si>
  <si>
    <t>LP-552-M10-AG17</t>
  </si>
  <si>
    <t>C01862</t>
  </si>
  <si>
    <t>La Preferida 5.52 Bundle 10</t>
  </si>
  <si>
    <t>LP-452-M10-AG17</t>
  </si>
  <si>
    <t>C01860</t>
  </si>
  <si>
    <t>La Preferida 4.52 Bundle 10</t>
  </si>
  <si>
    <t>LLR2017-LAN-BP50-R2017-AG19</t>
  </si>
  <si>
    <t>C01746</t>
  </si>
  <si>
    <t>La Ley Reserva Lancero 2017 Box 50</t>
  </si>
  <si>
    <t>Lancero 2017 B50</t>
  </si>
  <si>
    <t>n/a (too old)</t>
  </si>
  <si>
    <t>LLR2016-LAG6-B21-R2016-AG18</t>
  </si>
  <si>
    <t>C01829</t>
  </si>
  <si>
    <t>La Ley Reserva Laguito 2016 Box 21</t>
  </si>
  <si>
    <t>Laguito 2016 B21</t>
  </si>
  <si>
    <t>NICLA6-ROB-B20-AG19</t>
  </si>
  <si>
    <t>C01869</t>
  </si>
  <si>
    <t>Nicarao Clasico Robusto Box 20</t>
  </si>
  <si>
    <t>NICLA6-JUA-B20-AG19</t>
  </si>
  <si>
    <t>C01865</t>
  </si>
  <si>
    <t>Nicarao Clasico Juanito Box 20</t>
  </si>
  <si>
    <t>NICLA6-ROB-B10-AG16</t>
  </si>
  <si>
    <t>C01731</t>
  </si>
  <si>
    <t>Nicarao Clasico Robusto Box 10</t>
  </si>
  <si>
    <t>Robusto B10</t>
  </si>
  <si>
    <t>NICLA6-MIN-B20-AG19</t>
  </si>
  <si>
    <t>C01867</t>
  </si>
  <si>
    <t>Nicarao Clasico Minuto Box 20</t>
  </si>
  <si>
    <t>NICLA6-JUL-M20-AG13</t>
  </si>
  <si>
    <t>C01734</t>
  </si>
  <si>
    <t>Nicarao Clasico Julieta Bundle 20</t>
  </si>
  <si>
    <t>Julieta Bndl20</t>
  </si>
  <si>
    <t>NICLA6-GOR-B20-AG19</t>
  </si>
  <si>
    <t>C01864</t>
  </si>
  <si>
    <t>Nicarao Clasico Gordito Box 20</t>
  </si>
  <si>
    <t>NICLA6-JUL-B20-AG19</t>
  </si>
  <si>
    <t>C01866</t>
  </si>
  <si>
    <t>Nicarao Clasico Julieta Box 20</t>
  </si>
  <si>
    <t>NICLA6-MIN-M20-AG16</t>
  </si>
  <si>
    <t>C01868</t>
  </si>
  <si>
    <t>Nicarao Clasico Minuto Bundle 20</t>
  </si>
  <si>
    <t>NICLA6-JUA-M20-AG16</t>
  </si>
  <si>
    <t>C01735</t>
  </si>
  <si>
    <t>Nicarao Clasico Juanito Bundle 20</t>
  </si>
  <si>
    <t>Juanito Bndl20</t>
  </si>
  <si>
    <t>NIES-GOR-M20-AG16</t>
  </si>
  <si>
    <t>C01795</t>
  </si>
  <si>
    <t>Nicarao Especial Gordo Bundle 20</t>
  </si>
  <si>
    <t>Gordo Bndl20</t>
  </si>
  <si>
    <t>LLR2017-LAG6-B21-R2017-AG19</t>
  </si>
  <si>
    <t>C01744</t>
  </si>
  <si>
    <t>La Ley Reserva Laguito 2017 Box 21</t>
  </si>
  <si>
    <t>Laguito 2017 B21</t>
  </si>
  <si>
    <t>LL-ROB-B21-AG19</t>
  </si>
  <si>
    <t>C01857</t>
  </si>
  <si>
    <t>La Ley Robusto Box 21</t>
  </si>
  <si>
    <t>LL-ROB-B21-AG17</t>
  </si>
  <si>
    <t>FUR-PACK-P3-AG17</t>
  </si>
  <si>
    <t>C01759</t>
  </si>
  <si>
    <t>Furia Tripack 3 pieces</t>
  </si>
  <si>
    <t>Tripack 3</t>
  </si>
  <si>
    <t xml:space="preserve"> 3</t>
  </si>
  <si>
    <t>Pack of 3 elements</t>
  </si>
  <si>
    <t>LL-CAN-B14-AG15</t>
  </si>
  <si>
    <t>C01755</t>
  </si>
  <si>
    <t>La Ley Cañonazo Box 14</t>
  </si>
  <si>
    <t>Cañonazo B14</t>
  </si>
  <si>
    <t>LL-CAN-BP50-AG17</t>
  </si>
  <si>
    <t>C01754</t>
  </si>
  <si>
    <t>La Ley Cañonazo Box 50</t>
  </si>
  <si>
    <t>Cañonazo B50</t>
  </si>
  <si>
    <t>FUR-TIS-B10-AG19</t>
  </si>
  <si>
    <t>C01845</t>
  </si>
  <si>
    <t>Furia Tisiphone Box 10</t>
  </si>
  <si>
    <t>FUR-TIS-BP50-AG17</t>
  </si>
  <si>
    <t>C01853</t>
  </si>
  <si>
    <t>Furia Tisiphone Box 50</t>
  </si>
  <si>
    <t>Tisiphone B50</t>
  </si>
  <si>
    <t>FUR-MEG-B10-AG19</t>
  </si>
  <si>
    <t>C01851</t>
  </si>
  <si>
    <t>Furia Megæra Box 10</t>
  </si>
  <si>
    <t>FUR-ALE-BP50-AG17</t>
  </si>
  <si>
    <t>C01849</t>
  </si>
  <si>
    <t>Furia Alecto Box 50</t>
  </si>
  <si>
    <t>Alecto B50</t>
  </si>
  <si>
    <t>FUR-ALE-BP50-AG16</t>
  </si>
  <si>
    <t>FUR-ALE-B10-AG19</t>
  </si>
  <si>
    <t>C01848</t>
  </si>
  <si>
    <t>Furia Alecto Box 10</t>
  </si>
  <si>
    <t>FUR-MEG-M10-AG18</t>
  </si>
  <si>
    <t>C01852</t>
  </si>
  <si>
    <t>Furia Megæra Bundle 10</t>
  </si>
  <si>
    <t>FUR-ALE-M10-AG18</t>
  </si>
  <si>
    <t>C01762</t>
  </si>
  <si>
    <t>Furia Alecto Bundle 10</t>
  </si>
  <si>
    <t>Alecto Bndl10</t>
  </si>
  <si>
    <t>LLR2016-EXQ-B21-R2016-AG18</t>
  </si>
  <si>
    <t>C01827</t>
  </si>
  <si>
    <t>La Ley Reserva Exquisito 2016 Box 21</t>
  </si>
  <si>
    <t>Exquisito 2016 B21</t>
  </si>
  <si>
    <t>LL-MAR-M20-AG17</t>
  </si>
  <si>
    <t>C01751</t>
  </si>
  <si>
    <t>La Ley Mareva Bundle 20</t>
  </si>
  <si>
    <t>Mareva Bndl20</t>
  </si>
  <si>
    <t>LL-ROB-BP50-AG17</t>
  </si>
  <si>
    <t>C01748</t>
  </si>
  <si>
    <t>La Ley Robusto Box 50</t>
  </si>
  <si>
    <t>Robusto B50</t>
  </si>
  <si>
    <t>LL-MAR-B21-AG18</t>
  </si>
  <si>
    <t>C01855</t>
  </si>
  <si>
    <t>La Ley Mareva Box 21</t>
  </si>
  <si>
    <t>LL-MAR-BP50-AG16</t>
  </si>
  <si>
    <t>C01856</t>
  </si>
  <si>
    <t>La Ley Mareva Box 50</t>
  </si>
  <si>
    <t>Mareva B50</t>
  </si>
  <si>
    <t>LL-MAR-BP50-AG17</t>
  </si>
  <si>
    <t>LL-ROB-B14-AG16</t>
  </si>
  <si>
    <t>C01749</t>
  </si>
  <si>
    <t>La Ley Robusto Box 14</t>
  </si>
  <si>
    <t>Robusto B14</t>
  </si>
  <si>
    <t>LL-ROB-M20-AG17</t>
  </si>
  <si>
    <t>C01747</t>
  </si>
  <si>
    <t>La Ley Robusto Bundle 20</t>
  </si>
  <si>
    <t>LL-CAN-B21-AG17</t>
  </si>
  <si>
    <t>C01854</t>
  </si>
  <si>
    <t>La Ley Cañonazo Box 21</t>
  </si>
  <si>
    <t>Cañonazo B21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</si>
</sst>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sz val="10"/>
      <name val="Arial"/>
      <family val="2"/>
    </font>
    <font>
      <sz val="10"/>
      <color rgb="FF000000"/>
      <name val="Liberation San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C4B3C"/>
        <bgColor rgb="FF1C4B3C"/>
      </patternFill>
    </fill>
    <fill>
      <patternFill patternType="solid">
        <fgColor rgb="FFEEF3F0"/>
        <bgColor rgb="FFEEF3F0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3" fontId="5" fillId="0" borderId="0" xfId="1" applyFont="1" applyAlignment="1">
      <alignment vertical="center"/>
    </xf>
    <xf numFmtId="1" fontId="5" fillId="0" borderId="0" xfId="0" applyNumberFormat="1" applyFont="1" applyAlignment="1">
      <alignment horizont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/>
    </xf>
    <xf numFmtId="0" fontId="6" fillId="0" borderId="1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0" fillId="0" borderId="0" xfId="0" applyAlignment="1">
      <alignment horizontal="center"/>
    </xf>
    <xf numFmtId="43" fontId="0" fillId="0" borderId="0" xfId="1" applyFont="1"/>
  </cellXfs>
  <cellStyles count="3">
    <cellStyle name="Comma" xfId="1" builtinId="3"/>
    <cellStyle name="Normal" xfId="0" builtinId="0"/>
    <cellStyle name="Normal 2" xfId="2" xr:uid="{1296A6E0-3B6B-7947-97F8-DCDA05F8A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9021-F1E9-604D-A4B8-84D4C347DBFE}">
  <dimension ref="A1:U163"/>
  <sheetViews>
    <sheetView tabSelected="1" workbookViewId="0">
      <pane ySplit="2" topLeftCell="A125" activePane="bottomLeft" state="frozen"/>
      <selection pane="bottomLeft" activeCell="O15" sqref="O15"/>
    </sheetView>
  </sheetViews>
  <sheetFormatPr baseColWidth="10" defaultColWidth="8.83203125" defaultRowHeight="15"/>
  <cols>
    <col min="1" max="1" width="29.33203125" bestFit="1" customWidth="1"/>
    <col min="2" max="2" width="20" customWidth="1"/>
    <col min="3" max="3" width="36" bestFit="1" customWidth="1"/>
    <col min="4" max="4" width="20" customWidth="1"/>
    <col min="5" max="5" width="18" customWidth="1"/>
    <col min="6" max="6" width="19" bestFit="1" customWidth="1"/>
    <col min="7" max="7" width="22.33203125" bestFit="1" customWidth="1"/>
    <col min="8" max="8" width="15" customWidth="1"/>
    <col min="9" max="9" width="20" customWidth="1"/>
    <col min="10" max="11" width="16" customWidth="1"/>
    <col min="12" max="12" width="13" customWidth="1"/>
    <col min="13" max="13" width="15" style="16" customWidth="1"/>
    <col min="14" max="14" width="13" style="16" customWidth="1"/>
    <col min="15" max="15" width="12" customWidth="1"/>
    <col min="16" max="16" width="22" style="16" customWidth="1"/>
    <col min="17" max="17" width="22" customWidth="1"/>
    <col min="18" max="18" width="14" customWidth="1"/>
    <col min="19" max="19" width="16" customWidth="1"/>
    <col min="20" max="20" width="22" customWidth="1"/>
    <col min="21" max="21" width="30" customWidth="1"/>
  </cols>
  <sheetData>
    <row r="1" spans="1:2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2" customHeight="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4" t="s">
        <v>33</v>
      </c>
      <c r="N2" s="4" t="s">
        <v>34</v>
      </c>
      <c r="O2" s="3" t="s">
        <v>35</v>
      </c>
      <c r="P2" s="5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</row>
    <row r="3" spans="1:21" ht="18" customHeight="1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tr">
        <f>K3&amp;" x "&amp;L3</f>
        <v xml:space="preserve"> x </v>
      </c>
      <c r="I3" s="6" t="s">
        <v>49</v>
      </c>
      <c r="J3" s="6">
        <v>14.74</v>
      </c>
      <c r="K3" s="6"/>
      <c r="L3" s="6"/>
      <c r="M3" s="7" t="s">
        <v>50</v>
      </c>
      <c r="N3" s="7">
        <v>5</v>
      </c>
      <c r="O3" s="8">
        <v>2.0244599999999999</v>
      </c>
      <c r="P3" s="9">
        <v>5404021001919</v>
      </c>
      <c r="Q3" s="6" t="s">
        <v>51</v>
      </c>
      <c r="R3" s="6" t="s">
        <v>52</v>
      </c>
      <c r="S3" s="6" t="s">
        <v>53</v>
      </c>
      <c r="T3" s="6"/>
      <c r="U3" s="6"/>
    </row>
    <row r="4" spans="1:21" ht="18" customHeight="1">
      <c r="A4" s="10" t="s">
        <v>54</v>
      </c>
      <c r="B4" s="10" t="s">
        <v>55</v>
      </c>
      <c r="C4" s="10" t="s">
        <v>56</v>
      </c>
      <c r="D4" s="10" t="s">
        <v>57</v>
      </c>
      <c r="E4" s="10" t="s">
        <v>46</v>
      </c>
      <c r="F4" s="10" t="s">
        <v>58</v>
      </c>
      <c r="G4" s="10" t="s">
        <v>48</v>
      </c>
      <c r="H4" s="6" t="str">
        <f t="shared" ref="H4:H67" si="0">K4&amp;" x "&amp;L4</f>
        <v>4.5 x 56</v>
      </c>
      <c r="I4" s="10" t="s">
        <v>59</v>
      </c>
      <c r="J4" s="10">
        <v>15.36</v>
      </c>
      <c r="K4" s="10">
        <v>4.5</v>
      </c>
      <c r="L4" s="10">
        <v>56</v>
      </c>
      <c r="M4" s="11" t="s">
        <v>60</v>
      </c>
      <c r="N4" s="11">
        <v>10</v>
      </c>
      <c r="O4" s="8">
        <v>3.2427800000000002</v>
      </c>
      <c r="P4" s="12">
        <v>5404021001469</v>
      </c>
      <c r="Q4" s="6" t="s">
        <v>61</v>
      </c>
      <c r="R4" s="10" t="s">
        <v>62</v>
      </c>
      <c r="S4" s="10" t="s">
        <v>53</v>
      </c>
      <c r="T4" s="10"/>
      <c r="U4" s="10"/>
    </row>
    <row r="5" spans="1:21" ht="18" customHeight="1">
      <c r="A5" s="6" t="s">
        <v>63</v>
      </c>
      <c r="B5" s="6" t="s">
        <v>64</v>
      </c>
      <c r="C5" s="6" t="s">
        <v>65</v>
      </c>
      <c r="D5" s="6" t="s">
        <v>57</v>
      </c>
      <c r="E5" s="6" t="s">
        <v>46</v>
      </c>
      <c r="F5" s="6" t="s">
        <v>66</v>
      </c>
      <c r="G5" s="6" t="s">
        <v>48</v>
      </c>
      <c r="H5" s="6" t="str">
        <f t="shared" si="0"/>
        <v>5.5 x 54</v>
      </c>
      <c r="I5" s="6" t="s">
        <v>59</v>
      </c>
      <c r="J5" s="6">
        <v>16.579999999999998</v>
      </c>
      <c r="K5" s="6">
        <v>5.5</v>
      </c>
      <c r="L5" s="6">
        <v>54</v>
      </c>
      <c r="M5" s="7" t="s">
        <v>60</v>
      </c>
      <c r="N5" s="7">
        <v>10</v>
      </c>
      <c r="O5" s="8">
        <v>3.1293799999999998</v>
      </c>
      <c r="P5" s="9">
        <v>5404021001490</v>
      </c>
      <c r="Q5" s="6" t="s">
        <v>67</v>
      </c>
      <c r="R5" s="6" t="s">
        <v>62</v>
      </c>
      <c r="S5" s="6" t="s">
        <v>53</v>
      </c>
      <c r="T5" s="6"/>
      <c r="U5" s="6"/>
    </row>
    <row r="6" spans="1:21" ht="18" customHeight="1">
      <c r="A6" s="10" t="s">
        <v>68</v>
      </c>
      <c r="B6" s="10" t="s">
        <v>69</v>
      </c>
      <c r="C6" s="10" t="s">
        <v>70</v>
      </c>
      <c r="D6" s="10" t="s">
        <v>57</v>
      </c>
      <c r="E6" s="10" t="s">
        <v>71</v>
      </c>
      <c r="F6" s="10" t="s">
        <v>72</v>
      </c>
      <c r="G6" s="10" t="s">
        <v>48</v>
      </c>
      <c r="H6" s="6" t="str">
        <f t="shared" si="0"/>
        <v>6 x 48</v>
      </c>
      <c r="I6" s="10" t="s">
        <v>73</v>
      </c>
      <c r="J6" s="10">
        <v>14.9</v>
      </c>
      <c r="K6" s="10">
        <v>6</v>
      </c>
      <c r="L6" s="10">
        <v>48</v>
      </c>
      <c r="M6" s="11" t="s">
        <v>60</v>
      </c>
      <c r="N6" s="11">
        <v>10</v>
      </c>
      <c r="O6" s="8">
        <v>3.1678600000000001</v>
      </c>
      <c r="P6" s="12">
        <v>5404021007904</v>
      </c>
      <c r="Q6" s="6" t="s">
        <v>74</v>
      </c>
      <c r="R6" s="10" t="s">
        <v>62</v>
      </c>
      <c r="S6" s="10" t="s">
        <v>53</v>
      </c>
      <c r="T6" s="10"/>
      <c r="U6" s="10"/>
    </row>
    <row r="7" spans="1:21" ht="18" customHeight="1">
      <c r="A7" s="6" t="s">
        <v>75</v>
      </c>
      <c r="B7" s="6" t="s">
        <v>76</v>
      </c>
      <c r="C7" s="6" t="s">
        <v>77</v>
      </c>
      <c r="D7" s="6" t="s">
        <v>57</v>
      </c>
      <c r="E7" s="6" t="s">
        <v>71</v>
      </c>
      <c r="F7" s="6" t="s">
        <v>78</v>
      </c>
      <c r="G7" s="6" t="s">
        <v>48</v>
      </c>
      <c r="H7" s="6" t="str">
        <f t="shared" si="0"/>
        <v>6 x 48</v>
      </c>
      <c r="I7" s="6" t="s">
        <v>73</v>
      </c>
      <c r="J7" s="6">
        <v>14.9</v>
      </c>
      <c r="K7" s="6">
        <v>6</v>
      </c>
      <c r="L7" s="6">
        <v>48</v>
      </c>
      <c r="M7" s="7" t="s">
        <v>60</v>
      </c>
      <c r="N7" s="7">
        <v>10</v>
      </c>
      <c r="O7" s="8">
        <v>5.0209999999999999</v>
      </c>
      <c r="P7" s="9">
        <v>5404021008413</v>
      </c>
      <c r="Q7" s="6" t="s">
        <v>74</v>
      </c>
      <c r="R7" s="6" t="s">
        <v>62</v>
      </c>
      <c r="S7" s="6" t="s">
        <v>53</v>
      </c>
      <c r="T7" s="6"/>
      <c r="U7" s="6"/>
    </row>
    <row r="8" spans="1:21" ht="18" customHeight="1">
      <c r="A8" s="10" t="s">
        <v>79</v>
      </c>
      <c r="B8" s="10" t="s">
        <v>80</v>
      </c>
      <c r="C8" s="10" t="s">
        <v>81</v>
      </c>
      <c r="D8" s="10" t="s">
        <v>57</v>
      </c>
      <c r="E8" s="10" t="s">
        <v>46</v>
      </c>
      <c r="F8" s="10" t="s">
        <v>82</v>
      </c>
      <c r="G8" s="10" t="s">
        <v>48</v>
      </c>
      <c r="H8" s="6" t="str">
        <f t="shared" si="0"/>
        <v>6.5 x 58</v>
      </c>
      <c r="I8" s="10" t="s">
        <v>59</v>
      </c>
      <c r="J8" s="10">
        <v>22.6</v>
      </c>
      <c r="K8" s="10">
        <v>6.5</v>
      </c>
      <c r="L8" s="10">
        <v>58</v>
      </c>
      <c r="M8" s="11" t="s">
        <v>60</v>
      </c>
      <c r="N8" s="11">
        <v>10</v>
      </c>
      <c r="O8" s="8">
        <v>3.5268199999999998</v>
      </c>
      <c r="P8" s="12">
        <v>5404021001520</v>
      </c>
      <c r="Q8" s="6" t="s">
        <v>83</v>
      </c>
      <c r="R8" s="10" t="s">
        <v>62</v>
      </c>
      <c r="S8" s="10" t="s">
        <v>53</v>
      </c>
      <c r="T8" s="10"/>
      <c r="U8" s="10"/>
    </row>
    <row r="9" spans="1:21" ht="18" customHeight="1">
      <c r="A9" s="6" t="s">
        <v>84</v>
      </c>
      <c r="B9" s="6" t="s">
        <v>85</v>
      </c>
      <c r="C9" s="6" t="s">
        <v>86</v>
      </c>
      <c r="D9" s="6" t="s">
        <v>87</v>
      </c>
      <c r="E9" s="6" t="s">
        <v>46</v>
      </c>
      <c r="F9" s="6" t="s">
        <v>88</v>
      </c>
      <c r="G9" s="6" t="s">
        <v>48</v>
      </c>
      <c r="H9" s="6" t="str">
        <f t="shared" si="0"/>
        <v>6.5 x 52</v>
      </c>
      <c r="I9" s="6" t="s">
        <v>89</v>
      </c>
      <c r="J9" s="6">
        <v>18.27</v>
      </c>
      <c r="K9" s="6">
        <v>6.5</v>
      </c>
      <c r="L9" s="6">
        <v>52</v>
      </c>
      <c r="M9" s="7" t="s">
        <v>60</v>
      </c>
      <c r="N9" s="7">
        <v>21</v>
      </c>
      <c r="O9" s="8">
        <v>3.2047571428571402</v>
      </c>
      <c r="P9" s="9">
        <v>5404021001292</v>
      </c>
      <c r="Q9" s="6" t="s">
        <v>90</v>
      </c>
      <c r="R9" s="6" t="s">
        <v>62</v>
      </c>
      <c r="S9" s="6" t="s">
        <v>53</v>
      </c>
      <c r="T9" s="6"/>
      <c r="U9" s="6"/>
    </row>
    <row r="10" spans="1:21" ht="18" customHeight="1">
      <c r="A10" s="10" t="s">
        <v>91</v>
      </c>
      <c r="B10" s="10" t="s">
        <v>92</v>
      </c>
      <c r="C10" s="10" t="s">
        <v>93</v>
      </c>
      <c r="D10" s="10" t="s">
        <v>87</v>
      </c>
      <c r="E10" s="10" t="s">
        <v>46</v>
      </c>
      <c r="F10" s="10" t="s">
        <v>94</v>
      </c>
      <c r="G10" s="10" t="s">
        <v>48</v>
      </c>
      <c r="H10" s="6" t="str">
        <f t="shared" si="0"/>
        <v>6.5 x 52</v>
      </c>
      <c r="I10" s="10" t="s">
        <v>89</v>
      </c>
      <c r="J10" s="10">
        <v>18.27</v>
      </c>
      <c r="K10" s="10">
        <v>6.5</v>
      </c>
      <c r="L10" s="10">
        <v>52</v>
      </c>
      <c r="M10" s="11" t="s">
        <v>95</v>
      </c>
      <c r="N10" s="11">
        <v>21</v>
      </c>
      <c r="O10" s="8">
        <v>2.9220000000000002</v>
      </c>
      <c r="P10" s="12">
        <v>5404021008079</v>
      </c>
      <c r="Q10" s="6" t="s">
        <v>90</v>
      </c>
      <c r="R10" s="10" t="s">
        <v>62</v>
      </c>
      <c r="S10" s="10" t="s">
        <v>53</v>
      </c>
      <c r="T10" s="10"/>
      <c r="U10" s="10"/>
    </row>
    <row r="11" spans="1:21" ht="18" customHeight="1">
      <c r="A11" s="6" t="s">
        <v>96</v>
      </c>
      <c r="B11" s="6" t="s">
        <v>97</v>
      </c>
      <c r="C11" s="6" t="s">
        <v>98</v>
      </c>
      <c r="D11" s="6" t="s">
        <v>87</v>
      </c>
      <c r="E11" s="6" t="s">
        <v>46</v>
      </c>
      <c r="F11" s="6" t="s">
        <v>99</v>
      </c>
      <c r="G11" s="6" t="s">
        <v>48</v>
      </c>
      <c r="H11" s="6" t="str">
        <f t="shared" si="0"/>
        <v>4 x 44</v>
      </c>
      <c r="I11" s="6" t="s">
        <v>89</v>
      </c>
      <c r="J11" s="6">
        <v>8.69</v>
      </c>
      <c r="K11" s="6">
        <v>4</v>
      </c>
      <c r="L11" s="6">
        <v>44</v>
      </c>
      <c r="M11" s="7" t="s">
        <v>60</v>
      </c>
      <c r="N11" s="7">
        <v>21</v>
      </c>
      <c r="O11" s="8">
        <v>2.6150771428571402</v>
      </c>
      <c r="P11" s="9">
        <v>5404021001216</v>
      </c>
      <c r="Q11" s="6" t="s">
        <v>100</v>
      </c>
      <c r="R11" s="6" t="s">
        <v>62</v>
      </c>
      <c r="S11" s="6" t="s">
        <v>53</v>
      </c>
      <c r="T11" s="6"/>
      <c r="U11" s="6"/>
    </row>
    <row r="12" spans="1:21" ht="18" customHeight="1">
      <c r="A12" s="10" t="s">
        <v>101</v>
      </c>
      <c r="B12" s="10" t="s">
        <v>102</v>
      </c>
      <c r="C12" s="10" t="s">
        <v>103</v>
      </c>
      <c r="D12" s="10" t="s">
        <v>87</v>
      </c>
      <c r="E12" s="10" t="s">
        <v>46</v>
      </c>
      <c r="F12" s="10" t="s">
        <v>104</v>
      </c>
      <c r="G12" s="10" t="s">
        <v>48</v>
      </c>
      <c r="H12" s="6" t="str">
        <f t="shared" si="0"/>
        <v>4 x 44</v>
      </c>
      <c r="I12" s="10" t="s">
        <v>89</v>
      </c>
      <c r="J12" s="10">
        <v>8.69</v>
      </c>
      <c r="K12" s="10">
        <v>4</v>
      </c>
      <c r="L12" s="10">
        <v>44</v>
      </c>
      <c r="M12" s="11" t="s">
        <v>95</v>
      </c>
      <c r="N12" s="11">
        <v>21</v>
      </c>
      <c r="O12" s="8">
        <v>2.3319999999999999</v>
      </c>
      <c r="P12" s="12">
        <v>5404021008055</v>
      </c>
      <c r="Q12" s="6" t="s">
        <v>100</v>
      </c>
      <c r="R12" s="10" t="s">
        <v>62</v>
      </c>
      <c r="S12" s="10" t="s">
        <v>53</v>
      </c>
      <c r="T12" s="10"/>
      <c r="U12" s="10"/>
    </row>
    <row r="13" spans="1:21" ht="18" customHeight="1">
      <c r="A13" s="6" t="s">
        <v>105</v>
      </c>
      <c r="B13" s="6" t="s">
        <v>106</v>
      </c>
      <c r="C13" s="6" t="s">
        <v>107</v>
      </c>
      <c r="D13" s="6" t="s">
        <v>87</v>
      </c>
      <c r="E13" s="6" t="s">
        <v>71</v>
      </c>
      <c r="F13" s="6" t="s">
        <v>108</v>
      </c>
      <c r="G13" s="6" t="s">
        <v>48</v>
      </c>
      <c r="H13" s="6" t="str">
        <f t="shared" si="0"/>
        <v>5.5 x 46</v>
      </c>
      <c r="I13" s="6" t="s">
        <v>109</v>
      </c>
      <c r="J13" s="6">
        <v>11.74</v>
      </c>
      <c r="K13" s="6">
        <v>5.5</v>
      </c>
      <c r="L13" s="6">
        <v>46</v>
      </c>
      <c r="M13" s="7" t="s">
        <v>60</v>
      </c>
      <c r="N13" s="7">
        <v>21</v>
      </c>
      <c r="O13" s="8">
        <v>3.1546400000000001</v>
      </c>
      <c r="P13" s="9">
        <v>5404021008123</v>
      </c>
      <c r="Q13" s="6" t="s">
        <v>110</v>
      </c>
      <c r="R13" s="6" t="s">
        <v>62</v>
      </c>
      <c r="S13" s="6" t="s">
        <v>53</v>
      </c>
      <c r="T13" s="6"/>
      <c r="U13" s="6"/>
    </row>
    <row r="14" spans="1:21" ht="18" customHeight="1">
      <c r="A14" s="10" t="s">
        <v>111</v>
      </c>
      <c r="B14" s="10" t="s">
        <v>112</v>
      </c>
      <c r="C14" s="10" t="s">
        <v>113</v>
      </c>
      <c r="D14" s="10" t="s">
        <v>87</v>
      </c>
      <c r="E14" s="10" t="s">
        <v>71</v>
      </c>
      <c r="F14" s="10" t="s">
        <v>114</v>
      </c>
      <c r="G14" s="10" t="s">
        <v>48</v>
      </c>
      <c r="H14" s="6" t="str">
        <f t="shared" si="0"/>
        <v>4.875 x 48</v>
      </c>
      <c r="I14" s="10" t="s">
        <v>115</v>
      </c>
      <c r="J14" s="10">
        <v>12.35</v>
      </c>
      <c r="K14" s="10">
        <v>4.875</v>
      </c>
      <c r="L14" s="10">
        <v>48</v>
      </c>
      <c r="M14" s="11" t="s">
        <v>60</v>
      </c>
      <c r="N14" s="11">
        <v>21</v>
      </c>
      <c r="O14" s="8">
        <v>3.4929999999999999</v>
      </c>
      <c r="P14" s="12">
        <v>5404021008185</v>
      </c>
      <c r="Q14" s="6" t="s">
        <v>116</v>
      </c>
      <c r="R14" s="10" t="s">
        <v>62</v>
      </c>
      <c r="S14" s="10" t="s">
        <v>53</v>
      </c>
      <c r="T14" s="10"/>
      <c r="U14" s="10"/>
    </row>
    <row r="15" spans="1:21" ht="18" customHeight="1">
      <c r="A15" s="6" t="s">
        <v>117</v>
      </c>
      <c r="B15" s="6" t="s">
        <v>118</v>
      </c>
      <c r="C15" s="6" t="s">
        <v>119</v>
      </c>
      <c r="D15" s="6" t="s">
        <v>87</v>
      </c>
      <c r="E15" s="6" t="s">
        <v>71</v>
      </c>
      <c r="F15" s="6" t="s">
        <v>120</v>
      </c>
      <c r="G15" s="6" t="s">
        <v>48</v>
      </c>
      <c r="H15" s="6" t="str">
        <f t="shared" si="0"/>
        <v>6.5 x 56</v>
      </c>
      <c r="I15" s="6" t="s">
        <v>115</v>
      </c>
      <c r="J15" s="6">
        <v>21.86</v>
      </c>
      <c r="K15" s="6">
        <v>6.5</v>
      </c>
      <c r="L15" s="6">
        <v>56</v>
      </c>
      <c r="M15" s="7" t="s">
        <v>60</v>
      </c>
      <c r="N15" s="7">
        <v>21</v>
      </c>
      <c r="O15" s="8">
        <v>3.7105399999999999</v>
      </c>
      <c r="P15" s="9">
        <v>5404021008215</v>
      </c>
      <c r="Q15" s="6" t="s">
        <v>121</v>
      </c>
      <c r="R15" s="6" t="s">
        <v>62</v>
      </c>
      <c r="S15" s="6" t="s">
        <v>53</v>
      </c>
      <c r="T15" s="6"/>
      <c r="U15" s="6"/>
    </row>
    <row r="16" spans="1:21" ht="18" customHeight="1">
      <c r="A16" s="10" t="s">
        <v>122</v>
      </c>
      <c r="B16" s="10" t="s">
        <v>123</v>
      </c>
      <c r="C16" s="10" t="s">
        <v>124</v>
      </c>
      <c r="D16" s="10" t="s">
        <v>87</v>
      </c>
      <c r="E16" s="10" t="s">
        <v>46</v>
      </c>
      <c r="F16" s="10" t="s">
        <v>125</v>
      </c>
      <c r="G16" s="10" t="s">
        <v>48</v>
      </c>
      <c r="H16" s="6" t="str">
        <f t="shared" si="0"/>
        <v>5 x 54</v>
      </c>
      <c r="I16" s="10" t="s">
        <v>89</v>
      </c>
      <c r="J16" s="10">
        <v>16.079999999999998</v>
      </c>
      <c r="K16" s="10">
        <v>5</v>
      </c>
      <c r="L16" s="10">
        <v>54</v>
      </c>
      <c r="M16" s="11" t="s">
        <v>60</v>
      </c>
      <c r="N16" s="11">
        <v>21</v>
      </c>
      <c r="O16" s="8">
        <v>2.9207171428571401</v>
      </c>
      <c r="P16" s="12">
        <v>5404021001254</v>
      </c>
      <c r="Q16" s="6" t="s">
        <v>126</v>
      </c>
      <c r="R16" s="10" t="s">
        <v>62</v>
      </c>
      <c r="S16" s="10" t="s">
        <v>53</v>
      </c>
      <c r="T16" s="10"/>
      <c r="U16" s="10"/>
    </row>
    <row r="17" spans="1:21" ht="18" customHeight="1">
      <c r="A17" s="6" t="s">
        <v>127</v>
      </c>
      <c r="B17" s="6" t="s">
        <v>128</v>
      </c>
      <c r="C17" s="6" t="s">
        <v>129</v>
      </c>
      <c r="D17" s="6" t="s">
        <v>87</v>
      </c>
      <c r="E17" s="6" t="s">
        <v>46</v>
      </c>
      <c r="F17" s="6" t="s">
        <v>130</v>
      </c>
      <c r="G17" s="6" t="s">
        <v>48</v>
      </c>
      <c r="H17" s="6" t="str">
        <f t="shared" si="0"/>
        <v>5 x 54</v>
      </c>
      <c r="I17" s="6" t="s">
        <v>89</v>
      </c>
      <c r="J17" s="6">
        <v>16.079999999999998</v>
      </c>
      <c r="K17" s="6">
        <v>5</v>
      </c>
      <c r="L17" s="6">
        <v>54</v>
      </c>
      <c r="M17" s="7" t="s">
        <v>95</v>
      </c>
      <c r="N17" s="7">
        <v>21</v>
      </c>
      <c r="O17" s="8">
        <v>2.6379999999999999</v>
      </c>
      <c r="P17" s="9">
        <v>5404021008062</v>
      </c>
      <c r="Q17" s="6" t="s">
        <v>126</v>
      </c>
      <c r="R17" s="6" t="s">
        <v>62</v>
      </c>
      <c r="S17" s="6" t="s">
        <v>53</v>
      </c>
      <c r="T17" s="6"/>
      <c r="U17" s="6"/>
    </row>
    <row r="18" spans="1:21" ht="18" customHeight="1">
      <c r="A18" s="10" t="s">
        <v>131</v>
      </c>
      <c r="B18" s="10" t="s">
        <v>132</v>
      </c>
      <c r="C18" s="10" t="s">
        <v>133</v>
      </c>
      <c r="D18" s="10" t="s">
        <v>87</v>
      </c>
      <c r="E18" s="10" t="s">
        <v>46</v>
      </c>
      <c r="F18" s="10" t="s">
        <v>134</v>
      </c>
      <c r="G18" s="6" t="s">
        <v>48</v>
      </c>
      <c r="H18" s="6" t="str">
        <f t="shared" si="0"/>
        <v>4 x 44</v>
      </c>
      <c r="I18" s="6" t="s">
        <v>89</v>
      </c>
      <c r="J18" s="6">
        <v>8.69</v>
      </c>
      <c r="K18" s="6">
        <v>4</v>
      </c>
      <c r="L18" s="6">
        <v>44</v>
      </c>
      <c r="M18" s="11" t="s">
        <v>60</v>
      </c>
      <c r="N18" s="11">
        <v>10</v>
      </c>
      <c r="O18" s="8">
        <v>2.33222</v>
      </c>
      <c r="P18" s="9">
        <v>5404021002909</v>
      </c>
      <c r="Q18" s="6" t="s">
        <v>100</v>
      </c>
      <c r="R18" s="10" t="s">
        <v>62</v>
      </c>
      <c r="S18" s="10" t="s">
        <v>53</v>
      </c>
      <c r="T18" s="10"/>
      <c r="U18" s="10"/>
    </row>
    <row r="19" spans="1:21" ht="18" customHeight="1">
      <c r="A19" s="6" t="s">
        <v>135</v>
      </c>
      <c r="B19" s="6" t="s">
        <v>136</v>
      </c>
      <c r="C19" s="6" t="s">
        <v>137</v>
      </c>
      <c r="D19" s="6" t="s">
        <v>138</v>
      </c>
      <c r="E19" s="6" t="s">
        <v>46</v>
      </c>
      <c r="F19" s="6" t="s">
        <v>139</v>
      </c>
      <c r="G19" s="6" t="s">
        <v>48</v>
      </c>
      <c r="H19" s="6" t="str">
        <f t="shared" si="0"/>
        <v>4 x 52</v>
      </c>
      <c r="I19" s="6" t="s">
        <v>73</v>
      </c>
      <c r="J19" s="6">
        <v>11.56</v>
      </c>
      <c r="K19" s="6">
        <v>4</v>
      </c>
      <c r="L19" s="6">
        <v>52</v>
      </c>
      <c r="M19" s="7" t="s">
        <v>60</v>
      </c>
      <c r="N19" s="7">
        <v>16</v>
      </c>
      <c r="O19" s="8">
        <v>2.5258500000000002</v>
      </c>
      <c r="P19" s="9">
        <v>5404021001377</v>
      </c>
      <c r="Q19" s="6" t="s">
        <v>140</v>
      </c>
      <c r="R19" s="6" t="s">
        <v>62</v>
      </c>
      <c r="S19" s="6" t="s">
        <v>53</v>
      </c>
      <c r="T19" s="6"/>
      <c r="U19" s="6"/>
    </row>
    <row r="20" spans="1:21" ht="18" customHeight="1">
      <c r="A20" s="10" t="s">
        <v>141</v>
      </c>
      <c r="B20" s="10" t="s">
        <v>142</v>
      </c>
      <c r="C20" s="10" t="s">
        <v>143</v>
      </c>
      <c r="D20" s="10" t="s">
        <v>138</v>
      </c>
      <c r="E20" s="10" t="s">
        <v>46</v>
      </c>
      <c r="F20" s="10" t="s">
        <v>144</v>
      </c>
      <c r="G20" s="10" t="s">
        <v>48</v>
      </c>
      <c r="H20" s="6" t="str">
        <f t="shared" si="0"/>
        <v>4 x 52</v>
      </c>
      <c r="I20" s="10" t="s">
        <v>73</v>
      </c>
      <c r="J20" s="10">
        <v>11.56</v>
      </c>
      <c r="K20" s="10">
        <v>4</v>
      </c>
      <c r="L20" s="10">
        <v>52</v>
      </c>
      <c r="M20" s="11" t="s">
        <v>95</v>
      </c>
      <c r="N20" s="11">
        <v>10</v>
      </c>
      <c r="O20" s="8">
        <v>2.1821000000000002</v>
      </c>
      <c r="P20" s="12">
        <v>5404021001384</v>
      </c>
      <c r="Q20" s="6" t="s">
        <v>140</v>
      </c>
      <c r="R20" s="10" t="s">
        <v>62</v>
      </c>
      <c r="S20" s="10" t="s">
        <v>53</v>
      </c>
      <c r="T20" s="10"/>
      <c r="U20" s="10"/>
    </row>
    <row r="21" spans="1:21" ht="18" customHeight="1">
      <c r="A21" s="6" t="s">
        <v>145</v>
      </c>
      <c r="B21" s="6" t="s">
        <v>146</v>
      </c>
      <c r="C21" s="6" t="s">
        <v>147</v>
      </c>
      <c r="D21" s="6" t="s">
        <v>138</v>
      </c>
      <c r="E21" s="6" t="s">
        <v>46</v>
      </c>
      <c r="F21" s="6" t="s">
        <v>148</v>
      </c>
      <c r="G21" s="6" t="s">
        <v>48</v>
      </c>
      <c r="H21" s="6" t="str">
        <f t="shared" si="0"/>
        <v>4 x 52</v>
      </c>
      <c r="I21" s="6" t="s">
        <v>73</v>
      </c>
      <c r="J21" s="6">
        <v>11.56</v>
      </c>
      <c r="K21" s="6">
        <v>4</v>
      </c>
      <c r="L21" s="6">
        <v>52</v>
      </c>
      <c r="M21" s="7" t="s">
        <v>95</v>
      </c>
      <c r="N21" s="7">
        <v>16</v>
      </c>
      <c r="O21" s="8">
        <v>2.1821000000000002</v>
      </c>
      <c r="P21" s="9">
        <v>5404021007966</v>
      </c>
      <c r="Q21" s="6" t="s">
        <v>140</v>
      </c>
      <c r="R21" s="6" t="s">
        <v>62</v>
      </c>
      <c r="S21" s="6" t="s">
        <v>53</v>
      </c>
      <c r="T21" s="6"/>
      <c r="U21" s="6"/>
    </row>
    <row r="22" spans="1:21" ht="18" customHeight="1">
      <c r="A22" s="10" t="s">
        <v>149</v>
      </c>
      <c r="B22" s="10" t="s">
        <v>150</v>
      </c>
      <c r="C22" s="10" t="s">
        <v>151</v>
      </c>
      <c r="D22" s="10" t="s">
        <v>138</v>
      </c>
      <c r="E22" s="10" t="s">
        <v>46</v>
      </c>
      <c r="F22" s="10" t="s">
        <v>152</v>
      </c>
      <c r="G22" s="10" t="s">
        <v>48</v>
      </c>
      <c r="H22" s="6" t="str">
        <f t="shared" si="0"/>
        <v>5 x 52</v>
      </c>
      <c r="I22" s="10" t="s">
        <v>73</v>
      </c>
      <c r="J22" s="10">
        <v>14.29</v>
      </c>
      <c r="K22" s="10">
        <v>5</v>
      </c>
      <c r="L22" s="10">
        <v>52</v>
      </c>
      <c r="M22" s="11" t="s">
        <v>60</v>
      </c>
      <c r="N22" s="11">
        <v>16</v>
      </c>
      <c r="O22" s="8">
        <v>2.6754500000000001</v>
      </c>
      <c r="P22" s="12">
        <v>5404021001407</v>
      </c>
      <c r="Q22" s="6" t="s">
        <v>153</v>
      </c>
      <c r="R22" s="10" t="s">
        <v>62</v>
      </c>
      <c r="S22" s="10" t="s">
        <v>53</v>
      </c>
      <c r="T22" s="10"/>
      <c r="U22" s="10"/>
    </row>
    <row r="23" spans="1:21" ht="18" customHeight="1">
      <c r="A23" s="6" t="s">
        <v>154</v>
      </c>
      <c r="B23" s="6" t="s">
        <v>155</v>
      </c>
      <c r="C23" s="6" t="s">
        <v>156</v>
      </c>
      <c r="D23" s="6" t="s">
        <v>138</v>
      </c>
      <c r="E23" s="6" t="s">
        <v>46</v>
      </c>
      <c r="F23" s="6" t="s">
        <v>157</v>
      </c>
      <c r="G23" s="6" t="s">
        <v>48</v>
      </c>
      <c r="H23" s="6" t="str">
        <f t="shared" si="0"/>
        <v>5 x 52</v>
      </c>
      <c r="I23" s="6" t="s">
        <v>73</v>
      </c>
      <c r="J23" s="6">
        <v>14.29</v>
      </c>
      <c r="K23" s="6">
        <v>5</v>
      </c>
      <c r="L23" s="6">
        <v>52</v>
      </c>
      <c r="M23" s="7" t="s">
        <v>95</v>
      </c>
      <c r="N23" s="7">
        <v>10</v>
      </c>
      <c r="O23" s="8">
        <v>2.3317000000000001</v>
      </c>
      <c r="P23" s="9">
        <v>5404021001414</v>
      </c>
      <c r="Q23" s="6" t="s">
        <v>153</v>
      </c>
      <c r="R23" s="6" t="s">
        <v>62</v>
      </c>
      <c r="S23" s="6" t="s">
        <v>53</v>
      </c>
      <c r="T23" s="6"/>
      <c r="U23" s="6"/>
    </row>
    <row r="24" spans="1:21" ht="18" customHeight="1">
      <c r="A24" s="10" t="s">
        <v>158</v>
      </c>
      <c r="B24" s="10" t="s">
        <v>159</v>
      </c>
      <c r="C24" s="10" t="s">
        <v>160</v>
      </c>
      <c r="D24" s="10" t="s">
        <v>138</v>
      </c>
      <c r="E24" s="10" t="s">
        <v>46</v>
      </c>
      <c r="F24" s="10" t="s">
        <v>161</v>
      </c>
      <c r="G24" s="10" t="s">
        <v>48</v>
      </c>
      <c r="H24" s="6" t="str">
        <f t="shared" si="0"/>
        <v>5 x 52</v>
      </c>
      <c r="I24" s="10" t="s">
        <v>73</v>
      </c>
      <c r="J24" s="10">
        <v>14.29</v>
      </c>
      <c r="K24" s="10">
        <v>5</v>
      </c>
      <c r="L24" s="10">
        <v>52</v>
      </c>
      <c r="M24" s="11" t="s">
        <v>95</v>
      </c>
      <c r="N24" s="11">
        <v>16</v>
      </c>
      <c r="O24" s="8">
        <v>2.3317000000000001</v>
      </c>
      <c r="P24" s="12">
        <v>5404021007973</v>
      </c>
      <c r="Q24" s="6" t="s">
        <v>153</v>
      </c>
      <c r="R24" s="10" t="s">
        <v>62</v>
      </c>
      <c r="S24" s="10" t="s">
        <v>53</v>
      </c>
      <c r="T24" s="10"/>
      <c r="U24" s="10"/>
    </row>
    <row r="25" spans="1:21" ht="18" customHeight="1">
      <c r="A25" s="6" t="s">
        <v>162</v>
      </c>
      <c r="B25" s="6" t="s">
        <v>163</v>
      </c>
      <c r="C25" s="6" t="s">
        <v>164</v>
      </c>
      <c r="D25" s="6" t="s">
        <v>138</v>
      </c>
      <c r="E25" s="6" t="s">
        <v>46</v>
      </c>
      <c r="F25" s="6" t="s">
        <v>165</v>
      </c>
      <c r="G25" s="6" t="s">
        <v>48</v>
      </c>
      <c r="H25" s="6" t="str">
        <f t="shared" si="0"/>
        <v>6 x 52</v>
      </c>
      <c r="I25" s="6" t="s">
        <v>73</v>
      </c>
      <c r="J25" s="6">
        <v>17.329999999999998</v>
      </c>
      <c r="K25" s="6">
        <v>6</v>
      </c>
      <c r="L25" s="6">
        <v>52</v>
      </c>
      <c r="M25" s="7" t="s">
        <v>60</v>
      </c>
      <c r="N25" s="7">
        <v>16</v>
      </c>
      <c r="O25" s="8">
        <v>2.7678500000000001</v>
      </c>
      <c r="P25" s="9">
        <v>5404021001438</v>
      </c>
      <c r="Q25" s="6" t="s">
        <v>166</v>
      </c>
      <c r="R25" s="6" t="s">
        <v>62</v>
      </c>
      <c r="S25" s="6" t="s">
        <v>53</v>
      </c>
      <c r="T25" s="6"/>
      <c r="U25" s="6"/>
    </row>
    <row r="26" spans="1:21" ht="18" customHeight="1">
      <c r="A26" s="10" t="s">
        <v>167</v>
      </c>
      <c r="B26" s="10" t="s">
        <v>168</v>
      </c>
      <c r="C26" s="10" t="s">
        <v>169</v>
      </c>
      <c r="D26" s="10" t="s">
        <v>138</v>
      </c>
      <c r="E26" s="10" t="s">
        <v>46</v>
      </c>
      <c r="F26" s="10" t="s">
        <v>170</v>
      </c>
      <c r="G26" s="10" t="s">
        <v>48</v>
      </c>
      <c r="H26" s="6" t="str">
        <f t="shared" si="0"/>
        <v>6 x 52</v>
      </c>
      <c r="I26" s="10" t="s">
        <v>73</v>
      </c>
      <c r="J26" s="10">
        <v>17.329999999999998</v>
      </c>
      <c r="K26" s="10">
        <v>6</v>
      </c>
      <c r="L26" s="10">
        <v>52</v>
      </c>
      <c r="M26" s="11" t="s">
        <v>95</v>
      </c>
      <c r="N26" s="11">
        <v>10</v>
      </c>
      <c r="O26" s="8">
        <v>2.4241000000000001</v>
      </c>
      <c r="P26" s="12">
        <v>5404021001445</v>
      </c>
      <c r="Q26" s="6" t="s">
        <v>171</v>
      </c>
      <c r="R26" s="10" t="s">
        <v>62</v>
      </c>
      <c r="S26" s="10" t="s">
        <v>53</v>
      </c>
      <c r="T26" s="10"/>
      <c r="U26" s="10"/>
    </row>
    <row r="27" spans="1:21" ht="18" customHeight="1">
      <c r="A27" s="6" t="s">
        <v>172</v>
      </c>
      <c r="B27" s="6" t="s">
        <v>173</v>
      </c>
      <c r="C27" s="6" t="s">
        <v>174</v>
      </c>
      <c r="D27" s="6" t="s">
        <v>138</v>
      </c>
      <c r="E27" s="6" t="s">
        <v>46</v>
      </c>
      <c r="F27" s="6" t="s">
        <v>175</v>
      </c>
      <c r="G27" s="6" t="s">
        <v>48</v>
      </c>
      <c r="H27" s="6" t="str">
        <f t="shared" si="0"/>
        <v>6 x 52</v>
      </c>
      <c r="I27" s="6" t="s">
        <v>73</v>
      </c>
      <c r="J27" s="6">
        <v>17.329999999999998</v>
      </c>
      <c r="K27" s="6">
        <v>6</v>
      </c>
      <c r="L27" s="6">
        <v>52</v>
      </c>
      <c r="M27" s="7" t="s">
        <v>95</v>
      </c>
      <c r="N27" s="7">
        <v>16</v>
      </c>
      <c r="O27" s="8">
        <v>2.4241000000000001</v>
      </c>
      <c r="P27" s="9">
        <v>5404021007980</v>
      </c>
      <c r="Q27" s="6" t="s">
        <v>171</v>
      </c>
      <c r="R27" s="6" t="s">
        <v>62</v>
      </c>
      <c r="S27" s="6" t="s">
        <v>53</v>
      </c>
      <c r="T27" s="6"/>
      <c r="U27" s="6"/>
    </row>
    <row r="28" spans="1:21" ht="18" customHeight="1">
      <c r="A28" s="10" t="s">
        <v>176</v>
      </c>
      <c r="B28" s="10" t="s">
        <v>177</v>
      </c>
      <c r="C28" s="10" t="s">
        <v>178</v>
      </c>
      <c r="D28" s="10" t="s">
        <v>179</v>
      </c>
      <c r="E28" s="10" t="s">
        <v>180</v>
      </c>
      <c r="F28" s="10" t="s">
        <v>181</v>
      </c>
      <c r="G28" s="10" t="s">
        <v>48</v>
      </c>
      <c r="H28" s="6" t="str">
        <f t="shared" si="0"/>
        <v>4.125 x 50</v>
      </c>
      <c r="I28" s="10" t="s">
        <v>73</v>
      </c>
      <c r="J28" s="10">
        <v>11.38</v>
      </c>
      <c r="K28" s="10">
        <v>4.125</v>
      </c>
      <c r="L28" s="10">
        <v>50</v>
      </c>
      <c r="M28" s="11" t="s">
        <v>60</v>
      </c>
      <c r="N28" s="11">
        <v>20</v>
      </c>
      <c r="O28" s="8">
        <v>2.1187999999999998</v>
      </c>
      <c r="P28" s="12">
        <v>5404021000073</v>
      </c>
      <c r="Q28" s="6" t="s">
        <v>182</v>
      </c>
      <c r="R28" s="10" t="s">
        <v>62</v>
      </c>
      <c r="S28" s="10" t="s">
        <v>53</v>
      </c>
      <c r="T28" s="10"/>
      <c r="U28" s="10"/>
    </row>
    <row r="29" spans="1:21" ht="18" customHeight="1">
      <c r="A29" s="6" t="s">
        <v>183</v>
      </c>
      <c r="B29" s="6" t="s">
        <v>184</v>
      </c>
      <c r="C29" s="6" t="s">
        <v>185</v>
      </c>
      <c r="D29" s="6" t="s">
        <v>179</v>
      </c>
      <c r="E29" s="6" t="s">
        <v>180</v>
      </c>
      <c r="F29" s="6" t="s">
        <v>186</v>
      </c>
      <c r="G29" s="6" t="s">
        <v>48</v>
      </c>
      <c r="H29" s="6" t="str">
        <f t="shared" si="0"/>
        <v>4.125 x 50</v>
      </c>
      <c r="I29" s="6" t="s">
        <v>73</v>
      </c>
      <c r="J29" s="6">
        <v>11.38</v>
      </c>
      <c r="K29" s="6">
        <v>4.125</v>
      </c>
      <c r="L29" s="6">
        <v>50</v>
      </c>
      <c r="M29" s="7" t="s">
        <v>95</v>
      </c>
      <c r="N29" s="7">
        <v>20</v>
      </c>
      <c r="O29" s="8">
        <v>1.8272999999999999</v>
      </c>
      <c r="P29" s="9">
        <v>5404021000097</v>
      </c>
      <c r="Q29" s="6" t="s">
        <v>182</v>
      </c>
      <c r="R29" s="6" t="s">
        <v>62</v>
      </c>
      <c r="S29" s="6" t="s">
        <v>53</v>
      </c>
      <c r="T29" s="6"/>
      <c r="U29" s="6"/>
    </row>
    <row r="30" spans="1:21" ht="18" customHeight="1">
      <c r="A30" s="10" t="s">
        <v>187</v>
      </c>
      <c r="B30" s="10" t="s">
        <v>188</v>
      </c>
      <c r="C30" s="10" t="s">
        <v>189</v>
      </c>
      <c r="D30" s="10" t="s">
        <v>179</v>
      </c>
      <c r="E30" s="10" t="s">
        <v>180</v>
      </c>
      <c r="F30" s="10" t="s">
        <v>190</v>
      </c>
      <c r="G30" s="10" t="s">
        <v>191</v>
      </c>
      <c r="H30" s="6" t="str">
        <f t="shared" si="0"/>
        <v>4.5 x 46</v>
      </c>
      <c r="I30" s="10" t="s">
        <v>73</v>
      </c>
      <c r="J30" s="10">
        <v>8.39</v>
      </c>
      <c r="K30" s="10">
        <v>4.5</v>
      </c>
      <c r="L30" s="10">
        <v>46</v>
      </c>
      <c r="M30" s="11" t="s">
        <v>60</v>
      </c>
      <c r="N30" s="11">
        <v>20</v>
      </c>
      <c r="O30" s="8">
        <v>2.1187999999999998</v>
      </c>
      <c r="P30" s="12">
        <v>5404021000042</v>
      </c>
      <c r="Q30" s="6" t="s">
        <v>192</v>
      </c>
      <c r="R30" s="10" t="s">
        <v>62</v>
      </c>
      <c r="S30" s="10" t="s">
        <v>53</v>
      </c>
      <c r="T30" s="10"/>
      <c r="U30" s="10"/>
    </row>
    <row r="31" spans="1:21" ht="18" customHeight="1">
      <c r="A31" s="6" t="s">
        <v>193</v>
      </c>
      <c r="B31" s="6" t="s">
        <v>194</v>
      </c>
      <c r="C31" s="6" t="s">
        <v>195</v>
      </c>
      <c r="D31" s="6" t="s">
        <v>179</v>
      </c>
      <c r="E31" s="6" t="s">
        <v>180</v>
      </c>
      <c r="F31" s="6" t="s">
        <v>196</v>
      </c>
      <c r="G31" s="6" t="s">
        <v>48</v>
      </c>
      <c r="H31" s="6" t="str">
        <f t="shared" si="0"/>
        <v>7 x 50</v>
      </c>
      <c r="I31" s="6" t="s">
        <v>73</v>
      </c>
      <c r="J31" s="6">
        <v>18.21</v>
      </c>
      <c r="K31" s="6">
        <v>7</v>
      </c>
      <c r="L31" s="6">
        <v>50</v>
      </c>
      <c r="M31" s="7" t="s">
        <v>60</v>
      </c>
      <c r="N31" s="7">
        <v>20</v>
      </c>
      <c r="O31" s="8">
        <v>2.7381000000000002</v>
      </c>
      <c r="P31" s="9">
        <v>5404021000196</v>
      </c>
      <c r="Q31" s="6" t="s">
        <v>197</v>
      </c>
      <c r="R31" s="6" t="s">
        <v>62</v>
      </c>
      <c r="S31" s="6" t="s">
        <v>53</v>
      </c>
      <c r="T31" s="6"/>
      <c r="U31" s="6"/>
    </row>
    <row r="32" spans="1:21" ht="18" customHeight="1">
      <c r="A32" s="10" t="s">
        <v>198</v>
      </c>
      <c r="B32" s="10" t="s">
        <v>199</v>
      </c>
      <c r="C32" s="10" t="s">
        <v>200</v>
      </c>
      <c r="D32" s="10" t="s">
        <v>179</v>
      </c>
      <c r="E32" s="10" t="s">
        <v>180</v>
      </c>
      <c r="F32" s="10" t="s">
        <v>201</v>
      </c>
      <c r="G32" s="10" t="s">
        <v>48</v>
      </c>
      <c r="H32" s="6" t="str">
        <f t="shared" si="0"/>
        <v>5 x 42</v>
      </c>
      <c r="I32" s="10" t="s">
        <v>73</v>
      </c>
      <c r="J32" s="10">
        <v>9.18</v>
      </c>
      <c r="K32" s="10">
        <v>5</v>
      </c>
      <c r="L32" s="10">
        <v>42</v>
      </c>
      <c r="M32" s="11" t="s">
        <v>60</v>
      </c>
      <c r="N32" s="11">
        <v>20</v>
      </c>
      <c r="O32" s="8">
        <v>1.9692000000000001</v>
      </c>
      <c r="P32" s="12">
        <v>5404021000011</v>
      </c>
      <c r="Q32" s="6" t="s">
        <v>202</v>
      </c>
      <c r="R32" s="10" t="s">
        <v>62</v>
      </c>
      <c r="S32" s="10" t="s">
        <v>53</v>
      </c>
      <c r="T32" s="10"/>
      <c r="U32" s="10"/>
    </row>
    <row r="33" spans="1:21" ht="18" customHeight="1">
      <c r="A33" s="6" t="s">
        <v>203</v>
      </c>
      <c r="B33" s="6" t="s">
        <v>204</v>
      </c>
      <c r="C33" s="6" t="s">
        <v>205</v>
      </c>
      <c r="D33" s="6" t="s">
        <v>179</v>
      </c>
      <c r="E33" s="6" t="s">
        <v>180</v>
      </c>
      <c r="F33" s="6" t="s">
        <v>206</v>
      </c>
      <c r="G33" s="6" t="s">
        <v>48</v>
      </c>
      <c r="H33" s="6" t="str">
        <f t="shared" si="0"/>
        <v>5 x 42</v>
      </c>
      <c r="I33" s="6" t="s">
        <v>73</v>
      </c>
      <c r="J33" s="6">
        <v>9.18</v>
      </c>
      <c r="K33" s="6">
        <v>5</v>
      </c>
      <c r="L33" s="6">
        <v>42</v>
      </c>
      <c r="M33" s="7" t="s">
        <v>95</v>
      </c>
      <c r="N33" s="7">
        <v>20</v>
      </c>
      <c r="O33" s="8">
        <v>1.6777</v>
      </c>
      <c r="P33" s="9">
        <v>5404021000035</v>
      </c>
      <c r="Q33" s="6" t="s">
        <v>202</v>
      </c>
      <c r="R33" s="6" t="s">
        <v>62</v>
      </c>
      <c r="S33" s="6" t="s">
        <v>53</v>
      </c>
      <c r="T33" s="6"/>
      <c r="U33" s="6"/>
    </row>
    <row r="34" spans="1:21" ht="18" customHeight="1">
      <c r="A34" s="10" t="s">
        <v>207</v>
      </c>
      <c r="B34" s="10" t="s">
        <v>208</v>
      </c>
      <c r="C34" s="10" t="s">
        <v>209</v>
      </c>
      <c r="D34" s="10" t="s">
        <v>179</v>
      </c>
      <c r="E34" s="10" t="s">
        <v>180</v>
      </c>
      <c r="F34" s="10" t="s">
        <v>210</v>
      </c>
      <c r="G34" s="10" t="s">
        <v>191</v>
      </c>
      <c r="H34" s="6" t="str">
        <f t="shared" si="0"/>
        <v>6 x 52</v>
      </c>
      <c r="I34" s="10" t="s">
        <v>73</v>
      </c>
      <c r="J34" s="10">
        <v>14.9</v>
      </c>
      <c r="K34" s="10">
        <v>6</v>
      </c>
      <c r="L34" s="10">
        <v>52</v>
      </c>
      <c r="M34" s="11" t="s">
        <v>60</v>
      </c>
      <c r="N34" s="11">
        <v>20</v>
      </c>
      <c r="O34" s="8">
        <v>2.4554</v>
      </c>
      <c r="P34" s="12">
        <v>5404021000165</v>
      </c>
      <c r="Q34" s="6" t="s">
        <v>211</v>
      </c>
      <c r="R34" s="10" t="s">
        <v>62</v>
      </c>
      <c r="S34" s="10" t="s">
        <v>53</v>
      </c>
      <c r="T34" s="10"/>
      <c r="U34" s="10"/>
    </row>
    <row r="35" spans="1:21" ht="18" customHeight="1">
      <c r="A35" s="6" t="s">
        <v>212</v>
      </c>
      <c r="B35" s="6" t="s">
        <v>213</v>
      </c>
      <c r="C35" s="6" t="s">
        <v>214</v>
      </c>
      <c r="D35" s="6" t="s">
        <v>179</v>
      </c>
      <c r="E35" s="6" t="s">
        <v>180</v>
      </c>
      <c r="F35" s="6" t="s">
        <v>215</v>
      </c>
      <c r="G35" s="6" t="s">
        <v>48</v>
      </c>
      <c r="H35" s="6" t="str">
        <f t="shared" si="0"/>
        <v>5 x 52</v>
      </c>
      <c r="I35" s="6" t="s">
        <v>73</v>
      </c>
      <c r="J35" s="6">
        <v>14.29</v>
      </c>
      <c r="K35" s="6">
        <v>5</v>
      </c>
      <c r="L35" s="6">
        <v>52</v>
      </c>
      <c r="M35" s="7" t="s">
        <v>60</v>
      </c>
      <c r="N35" s="7">
        <v>20</v>
      </c>
      <c r="O35" s="8">
        <v>2.3212000000000002</v>
      </c>
      <c r="P35" s="9">
        <v>5404021000134</v>
      </c>
      <c r="Q35" s="6" t="s">
        <v>216</v>
      </c>
      <c r="R35" s="6" t="s">
        <v>62</v>
      </c>
      <c r="S35" s="6" t="s">
        <v>53</v>
      </c>
      <c r="T35" s="6"/>
      <c r="U35" s="6"/>
    </row>
    <row r="36" spans="1:21" ht="18" customHeight="1">
      <c r="A36" s="10" t="s">
        <v>217</v>
      </c>
      <c r="B36" s="10" t="s">
        <v>218</v>
      </c>
      <c r="C36" s="10" t="s">
        <v>219</v>
      </c>
      <c r="D36" s="10" t="s">
        <v>179</v>
      </c>
      <c r="E36" s="10" t="s">
        <v>180</v>
      </c>
      <c r="F36" s="10" t="s">
        <v>220</v>
      </c>
      <c r="G36" s="10" t="s">
        <v>48</v>
      </c>
      <c r="H36" s="6" t="str">
        <f t="shared" si="0"/>
        <v>5 x 52</v>
      </c>
      <c r="I36" s="10" t="s">
        <v>73</v>
      </c>
      <c r="J36" s="10">
        <v>14.29</v>
      </c>
      <c r="K36" s="10">
        <v>5</v>
      </c>
      <c r="L36" s="10">
        <v>52</v>
      </c>
      <c r="M36" s="11" t="s">
        <v>95</v>
      </c>
      <c r="N36" s="11">
        <v>10</v>
      </c>
      <c r="O36" s="8">
        <v>2.0297000000000001</v>
      </c>
      <c r="P36" s="12">
        <v>5404021002756</v>
      </c>
      <c r="Q36" s="6" t="s">
        <v>216</v>
      </c>
      <c r="R36" s="10" t="s">
        <v>62</v>
      </c>
      <c r="S36" s="10" t="s">
        <v>53</v>
      </c>
      <c r="T36" s="10"/>
      <c r="U36" s="10"/>
    </row>
    <row r="37" spans="1:21" ht="18" customHeight="1">
      <c r="A37" s="6" t="s">
        <v>221</v>
      </c>
      <c r="B37" s="6" t="s">
        <v>222</v>
      </c>
      <c r="C37" s="6" t="s">
        <v>223</v>
      </c>
      <c r="D37" s="6" t="s">
        <v>179</v>
      </c>
      <c r="E37" s="6" t="s">
        <v>224</v>
      </c>
      <c r="F37" s="6" t="s">
        <v>225</v>
      </c>
      <c r="G37" s="6" t="s">
        <v>48</v>
      </c>
      <c r="H37" s="6" t="str">
        <f t="shared" si="0"/>
        <v>5 x 56</v>
      </c>
      <c r="I37" s="6" t="s">
        <v>73</v>
      </c>
      <c r="J37" s="6">
        <v>16.809999999999999</v>
      </c>
      <c r="K37" s="6">
        <v>5</v>
      </c>
      <c r="L37" s="6">
        <v>56</v>
      </c>
      <c r="M37" s="7" t="s">
        <v>60</v>
      </c>
      <c r="N37" s="7">
        <v>21</v>
      </c>
      <c r="O37" s="8">
        <v>2.37797428571429</v>
      </c>
      <c r="P37" s="9">
        <v>5404021000349</v>
      </c>
      <c r="Q37" s="6" t="s">
        <v>226</v>
      </c>
      <c r="R37" s="6" t="s">
        <v>62</v>
      </c>
      <c r="S37" s="6" t="s">
        <v>53</v>
      </c>
      <c r="T37" s="6"/>
      <c r="U37" s="6"/>
    </row>
    <row r="38" spans="1:21" ht="18" customHeight="1">
      <c r="A38" s="10" t="s">
        <v>227</v>
      </c>
      <c r="B38" s="10" t="s">
        <v>228</v>
      </c>
      <c r="C38" s="10" t="s">
        <v>229</v>
      </c>
      <c r="D38" s="10" t="s">
        <v>179</v>
      </c>
      <c r="E38" s="10" t="s">
        <v>224</v>
      </c>
      <c r="F38" s="10" t="s">
        <v>230</v>
      </c>
      <c r="G38" s="10" t="s">
        <v>48</v>
      </c>
      <c r="H38" s="6" t="str">
        <f t="shared" si="0"/>
        <v>5 x 56</v>
      </c>
      <c r="I38" s="10" t="s">
        <v>73</v>
      </c>
      <c r="J38" s="10">
        <v>16.809999999999999</v>
      </c>
      <c r="K38" s="10">
        <v>5</v>
      </c>
      <c r="L38" s="10">
        <v>56</v>
      </c>
      <c r="M38" s="11" t="s">
        <v>95</v>
      </c>
      <c r="N38" s="11">
        <v>10</v>
      </c>
      <c r="O38" s="8">
        <v>2.0872600000000001</v>
      </c>
      <c r="P38" s="12">
        <v>5404021002817</v>
      </c>
      <c r="Q38" s="6" t="s">
        <v>226</v>
      </c>
      <c r="R38" s="10" t="s">
        <v>62</v>
      </c>
      <c r="S38" s="10" t="s">
        <v>53</v>
      </c>
      <c r="T38" s="10"/>
      <c r="U38" s="10"/>
    </row>
    <row r="39" spans="1:21" ht="18" customHeight="1">
      <c r="A39" s="6" t="s">
        <v>231</v>
      </c>
      <c r="B39" s="6" t="s">
        <v>232</v>
      </c>
      <c r="C39" s="6" t="s">
        <v>233</v>
      </c>
      <c r="D39" s="6" t="s">
        <v>179</v>
      </c>
      <c r="E39" s="6" t="s">
        <v>224</v>
      </c>
      <c r="F39" s="6" t="s">
        <v>234</v>
      </c>
      <c r="G39" s="6" t="s">
        <v>48</v>
      </c>
      <c r="H39" s="6" t="str">
        <f t="shared" si="0"/>
        <v>5.5 x 48</v>
      </c>
      <c r="I39" s="6" t="s">
        <v>73</v>
      </c>
      <c r="J39" s="6">
        <v>13.59</v>
      </c>
      <c r="K39" s="6">
        <v>5.5</v>
      </c>
      <c r="L39" s="6">
        <v>48</v>
      </c>
      <c r="M39" s="7" t="s">
        <v>60</v>
      </c>
      <c r="N39" s="7">
        <v>21</v>
      </c>
      <c r="O39" s="8">
        <v>2.1371042857142899</v>
      </c>
      <c r="P39" s="9">
        <v>5404021000226</v>
      </c>
      <c r="Q39" s="6" t="s">
        <v>235</v>
      </c>
      <c r="R39" s="6" t="s">
        <v>62</v>
      </c>
      <c r="S39" s="6" t="s">
        <v>53</v>
      </c>
      <c r="T39" s="6"/>
      <c r="U39" s="6"/>
    </row>
    <row r="40" spans="1:21" ht="18" customHeight="1">
      <c r="A40" s="10" t="s">
        <v>236</v>
      </c>
      <c r="B40" s="10" t="s">
        <v>237</v>
      </c>
      <c r="C40" s="10" t="s">
        <v>238</v>
      </c>
      <c r="D40" s="10" t="s">
        <v>179</v>
      </c>
      <c r="E40" s="10" t="s">
        <v>224</v>
      </c>
      <c r="F40" s="10" t="s">
        <v>239</v>
      </c>
      <c r="G40" s="10" t="s">
        <v>240</v>
      </c>
      <c r="H40" s="6" t="str">
        <f t="shared" si="0"/>
        <v>5 x 54</v>
      </c>
      <c r="I40" s="10" t="s">
        <v>73</v>
      </c>
      <c r="J40" s="10">
        <v>12.9</v>
      </c>
      <c r="K40" s="10">
        <v>5</v>
      </c>
      <c r="L40" s="10">
        <v>54</v>
      </c>
      <c r="M40" s="11" t="s">
        <v>60</v>
      </c>
      <c r="N40" s="11">
        <v>21</v>
      </c>
      <c r="O40" s="8">
        <v>2.6787842857142898</v>
      </c>
      <c r="P40" s="12">
        <v>5404021000301</v>
      </c>
      <c r="Q40" s="6" t="s">
        <v>241</v>
      </c>
      <c r="R40" s="10" t="s">
        <v>62</v>
      </c>
      <c r="S40" s="10" t="s">
        <v>53</v>
      </c>
      <c r="T40" s="10"/>
      <c r="U40" s="10"/>
    </row>
    <row r="41" spans="1:21" ht="18" customHeight="1">
      <c r="A41" s="6" t="s">
        <v>242</v>
      </c>
      <c r="B41" s="6" t="s">
        <v>243</v>
      </c>
      <c r="C41" s="6" t="s">
        <v>244</v>
      </c>
      <c r="D41" s="6" t="s">
        <v>179</v>
      </c>
      <c r="E41" s="6" t="s">
        <v>224</v>
      </c>
      <c r="F41" s="6" t="s">
        <v>245</v>
      </c>
      <c r="G41" s="6" t="s">
        <v>48</v>
      </c>
      <c r="H41" s="6" t="str">
        <f t="shared" si="0"/>
        <v>4.5 x 54</v>
      </c>
      <c r="I41" s="6" t="s">
        <v>73</v>
      </c>
      <c r="J41" s="6">
        <v>14.07</v>
      </c>
      <c r="K41" s="6">
        <v>4.5</v>
      </c>
      <c r="L41" s="6">
        <v>54</v>
      </c>
      <c r="M41" s="7" t="s">
        <v>60</v>
      </c>
      <c r="N41" s="7">
        <v>21</v>
      </c>
      <c r="O41" s="8">
        <v>2.1981542857142902</v>
      </c>
      <c r="P41" s="9">
        <v>5404021000264</v>
      </c>
      <c r="Q41" s="6" t="s">
        <v>246</v>
      </c>
      <c r="R41" s="6" t="s">
        <v>62</v>
      </c>
      <c r="S41" s="6" t="s">
        <v>53</v>
      </c>
      <c r="T41" s="6"/>
      <c r="U41" s="6"/>
    </row>
    <row r="42" spans="1:21" ht="18" customHeight="1">
      <c r="A42" s="10" t="s">
        <v>247</v>
      </c>
      <c r="B42" s="10" t="s">
        <v>248</v>
      </c>
      <c r="C42" s="10" t="s">
        <v>249</v>
      </c>
      <c r="D42" s="10" t="s">
        <v>179</v>
      </c>
      <c r="E42" s="10" t="s">
        <v>224</v>
      </c>
      <c r="F42" s="10" t="s">
        <v>250</v>
      </c>
      <c r="G42" s="10" t="s">
        <v>48</v>
      </c>
      <c r="H42" s="6" t="str">
        <f t="shared" si="0"/>
        <v>4.5 x 54</v>
      </c>
      <c r="I42" s="10" t="s">
        <v>73</v>
      </c>
      <c r="J42" s="10">
        <v>14.07</v>
      </c>
      <c r="K42" s="10">
        <v>4.5</v>
      </c>
      <c r="L42" s="10">
        <v>54</v>
      </c>
      <c r="M42" s="11" t="s">
        <v>95</v>
      </c>
      <c r="N42" s="11">
        <v>10</v>
      </c>
      <c r="O42" s="8">
        <v>1.90744</v>
      </c>
      <c r="P42" s="12">
        <v>5404021002794</v>
      </c>
      <c r="Q42" s="6" t="s">
        <v>246</v>
      </c>
      <c r="R42" s="10" t="s">
        <v>62</v>
      </c>
      <c r="S42" s="10" t="s">
        <v>53</v>
      </c>
      <c r="T42" s="10"/>
      <c r="U42" s="10"/>
    </row>
    <row r="43" spans="1:21" ht="18" customHeight="1">
      <c r="A43" s="6" t="s">
        <v>251</v>
      </c>
      <c r="B43" s="6" t="s">
        <v>252</v>
      </c>
      <c r="C43" s="6" t="s">
        <v>253</v>
      </c>
      <c r="D43" s="6" t="s">
        <v>179</v>
      </c>
      <c r="E43" s="6" t="s">
        <v>224</v>
      </c>
      <c r="F43" s="6" t="s">
        <v>254</v>
      </c>
      <c r="G43" s="6" t="s">
        <v>48</v>
      </c>
      <c r="H43" s="6" t="str">
        <f t="shared" si="0"/>
        <v>6 x 52</v>
      </c>
      <c r="I43" s="6" t="s">
        <v>73</v>
      </c>
      <c r="J43" s="6">
        <v>17.399999999999999</v>
      </c>
      <c r="K43" s="6">
        <v>6</v>
      </c>
      <c r="L43" s="6">
        <v>52</v>
      </c>
      <c r="M43" s="7" t="s">
        <v>60</v>
      </c>
      <c r="N43" s="7">
        <v>21</v>
      </c>
      <c r="O43" s="8">
        <v>2.41349428571429</v>
      </c>
      <c r="P43" s="9">
        <v>5404021000387</v>
      </c>
      <c r="Q43" s="6" t="s">
        <v>255</v>
      </c>
      <c r="R43" s="6" t="s">
        <v>62</v>
      </c>
      <c r="S43" s="6" t="s">
        <v>53</v>
      </c>
      <c r="T43" s="6"/>
      <c r="U43" s="6"/>
    </row>
    <row r="44" spans="1:21" ht="18" customHeight="1">
      <c r="A44" s="10" t="s">
        <v>256</v>
      </c>
      <c r="B44" s="10" t="s">
        <v>257</v>
      </c>
      <c r="C44" s="10" t="s">
        <v>258</v>
      </c>
      <c r="D44" s="10" t="s">
        <v>179</v>
      </c>
      <c r="E44" s="10" t="s">
        <v>224</v>
      </c>
      <c r="F44" s="10" t="s">
        <v>259</v>
      </c>
      <c r="G44" s="10" t="s">
        <v>48</v>
      </c>
      <c r="H44" s="6" t="str">
        <f t="shared" si="0"/>
        <v>6 x 52</v>
      </c>
      <c r="I44" s="10" t="s">
        <v>73</v>
      </c>
      <c r="J44" s="10">
        <v>17.399999999999999</v>
      </c>
      <c r="K44" s="10">
        <v>6</v>
      </c>
      <c r="L44" s="10">
        <v>52</v>
      </c>
      <c r="M44" s="11" t="s">
        <v>95</v>
      </c>
      <c r="N44" s="11">
        <v>10</v>
      </c>
      <c r="O44" s="8">
        <v>2.1227800000000001</v>
      </c>
      <c r="P44" s="12">
        <v>5404021002824</v>
      </c>
      <c r="Q44" s="6" t="s">
        <v>255</v>
      </c>
      <c r="R44" s="10" t="s">
        <v>62</v>
      </c>
      <c r="S44" s="10" t="s">
        <v>53</v>
      </c>
      <c r="T44" s="10"/>
      <c r="U44" s="10"/>
    </row>
    <row r="45" spans="1:21" ht="18" customHeight="1">
      <c r="A45" s="6" t="s">
        <v>260</v>
      </c>
      <c r="B45" s="6" t="s">
        <v>261</v>
      </c>
      <c r="C45" s="6" t="s">
        <v>262</v>
      </c>
      <c r="D45" s="6" t="s">
        <v>179</v>
      </c>
      <c r="E45" s="6" t="s">
        <v>224</v>
      </c>
      <c r="F45" s="6" t="s">
        <v>263</v>
      </c>
      <c r="G45" s="6" t="s">
        <v>48</v>
      </c>
      <c r="H45" s="6" t="str">
        <f t="shared" si="0"/>
        <v>5.5 x 58</v>
      </c>
      <c r="I45" s="6" t="s">
        <v>73</v>
      </c>
      <c r="J45" s="6">
        <v>19.84</v>
      </c>
      <c r="K45" s="6">
        <v>5.5</v>
      </c>
      <c r="L45" s="6">
        <v>58</v>
      </c>
      <c r="M45" s="7" t="s">
        <v>60</v>
      </c>
      <c r="N45" s="7">
        <v>21</v>
      </c>
      <c r="O45" s="8">
        <v>2.6787842857142898</v>
      </c>
      <c r="P45" s="9">
        <v>5404021000424</v>
      </c>
      <c r="Q45" s="6" t="s">
        <v>264</v>
      </c>
      <c r="R45" s="6" t="s">
        <v>62</v>
      </c>
      <c r="S45" s="6" t="s">
        <v>53</v>
      </c>
      <c r="T45" s="6"/>
      <c r="U45" s="6"/>
    </row>
    <row r="46" spans="1:21" ht="18" customHeight="1">
      <c r="A46" s="10" t="s">
        <v>265</v>
      </c>
      <c r="B46" s="10" t="s">
        <v>266</v>
      </c>
      <c r="C46" s="10" t="s">
        <v>267</v>
      </c>
      <c r="D46" s="10" t="s">
        <v>179</v>
      </c>
      <c r="E46" s="10" t="s">
        <v>224</v>
      </c>
      <c r="F46" s="10" t="s">
        <v>268</v>
      </c>
      <c r="G46" s="10" t="s">
        <v>48</v>
      </c>
      <c r="H46" s="6" t="str">
        <f t="shared" si="0"/>
        <v>5.5 x 58</v>
      </c>
      <c r="I46" s="10" t="s">
        <v>73</v>
      </c>
      <c r="J46" s="10">
        <v>19.84</v>
      </c>
      <c r="K46" s="10">
        <v>5.5</v>
      </c>
      <c r="L46" s="10">
        <v>58</v>
      </c>
      <c r="M46" s="11" t="s">
        <v>95</v>
      </c>
      <c r="N46" s="11">
        <v>10</v>
      </c>
      <c r="O46" s="8">
        <v>2.3880699999999999</v>
      </c>
      <c r="P46" s="12">
        <v>5404021002831</v>
      </c>
      <c r="Q46" s="6" t="s">
        <v>264</v>
      </c>
      <c r="R46" s="10" t="s">
        <v>62</v>
      </c>
      <c r="S46" s="10" t="s">
        <v>53</v>
      </c>
      <c r="T46" s="10"/>
      <c r="U46" s="10"/>
    </row>
    <row r="47" spans="1:21" ht="18" customHeight="1">
      <c r="A47" s="6" t="s">
        <v>269</v>
      </c>
      <c r="B47" s="6" t="s">
        <v>270</v>
      </c>
      <c r="C47" s="6" t="s">
        <v>271</v>
      </c>
      <c r="D47" s="6" t="s">
        <v>179</v>
      </c>
      <c r="E47" s="6" t="s">
        <v>272</v>
      </c>
      <c r="F47" s="6" t="s">
        <v>273</v>
      </c>
      <c r="G47" s="6" t="s">
        <v>240</v>
      </c>
      <c r="H47" s="6" t="str">
        <f t="shared" si="0"/>
        <v>9.2 x 55</v>
      </c>
      <c r="I47" s="6" t="s">
        <v>274</v>
      </c>
      <c r="J47" s="6">
        <v>23.89</v>
      </c>
      <c r="K47" s="6">
        <v>9.1999999999999993</v>
      </c>
      <c r="L47" s="6">
        <v>55</v>
      </c>
      <c r="M47" s="7" t="s">
        <v>60</v>
      </c>
      <c r="N47" s="7">
        <v>20</v>
      </c>
      <c r="O47" s="8">
        <v>6.7249800000000004</v>
      </c>
      <c r="P47" s="9">
        <v>5404021000882</v>
      </c>
      <c r="Q47" s="6" t="s">
        <v>275</v>
      </c>
      <c r="R47" s="6" t="s">
        <v>62</v>
      </c>
      <c r="S47" s="6" t="s">
        <v>53</v>
      </c>
      <c r="T47" s="6"/>
      <c r="U47" s="6"/>
    </row>
    <row r="48" spans="1:21" ht="18" customHeight="1">
      <c r="A48" s="10" t="s">
        <v>276</v>
      </c>
      <c r="B48" s="10" t="s">
        <v>277</v>
      </c>
      <c r="C48" s="10" t="s">
        <v>278</v>
      </c>
      <c r="D48" s="10" t="s">
        <v>179</v>
      </c>
      <c r="E48" s="10" t="s">
        <v>272</v>
      </c>
      <c r="F48" s="10" t="s">
        <v>279</v>
      </c>
      <c r="G48" s="10" t="s">
        <v>48</v>
      </c>
      <c r="H48" s="6" t="str">
        <f t="shared" si="0"/>
        <v>7 x 54</v>
      </c>
      <c r="I48" s="10" t="s">
        <v>274</v>
      </c>
      <c r="J48" s="10">
        <v>20</v>
      </c>
      <c r="K48" s="10">
        <v>7</v>
      </c>
      <c r="L48" s="10">
        <v>54</v>
      </c>
      <c r="M48" s="11" t="s">
        <v>60</v>
      </c>
      <c r="N48" s="11">
        <v>20</v>
      </c>
      <c r="O48" s="8">
        <v>3.7204199999999998</v>
      </c>
      <c r="P48" s="12">
        <v>5404021000769</v>
      </c>
      <c r="Q48" s="6" t="s">
        <v>280</v>
      </c>
      <c r="R48" s="10" t="s">
        <v>62</v>
      </c>
      <c r="S48" s="10" t="s">
        <v>53</v>
      </c>
      <c r="T48" s="10"/>
      <c r="U48" s="10"/>
    </row>
    <row r="49" spans="1:21" ht="18" customHeight="1">
      <c r="A49" s="6" t="s">
        <v>281</v>
      </c>
      <c r="B49" s="6" t="s">
        <v>282</v>
      </c>
      <c r="C49" s="6" t="s">
        <v>283</v>
      </c>
      <c r="D49" s="6" t="s">
        <v>179</v>
      </c>
      <c r="E49" s="6" t="s">
        <v>272</v>
      </c>
      <c r="F49" s="6" t="s">
        <v>284</v>
      </c>
      <c r="G49" s="6" t="s">
        <v>48</v>
      </c>
      <c r="H49" s="6" t="str">
        <f t="shared" si="0"/>
        <v>5 x 50</v>
      </c>
      <c r="I49" s="6" t="s">
        <v>274</v>
      </c>
      <c r="J49" s="6">
        <v>12.25</v>
      </c>
      <c r="K49" s="6">
        <v>5</v>
      </c>
      <c r="L49" s="6">
        <v>50</v>
      </c>
      <c r="M49" s="7" t="s">
        <v>60</v>
      </c>
      <c r="N49" s="7">
        <v>20</v>
      </c>
      <c r="O49" s="8">
        <v>2.8585799999999999</v>
      </c>
      <c r="P49" s="9">
        <v>5404021000684</v>
      </c>
      <c r="Q49" s="6" t="s">
        <v>285</v>
      </c>
      <c r="R49" s="6" t="s">
        <v>62</v>
      </c>
      <c r="S49" s="6" t="s">
        <v>53</v>
      </c>
      <c r="T49" s="6"/>
      <c r="U49" s="6"/>
    </row>
    <row r="50" spans="1:21" ht="18" customHeight="1">
      <c r="A50" s="10" t="s">
        <v>286</v>
      </c>
      <c r="B50" s="10" t="s">
        <v>287</v>
      </c>
      <c r="C50" s="10" t="s">
        <v>288</v>
      </c>
      <c r="D50" s="10" t="s">
        <v>179</v>
      </c>
      <c r="E50" s="10" t="s">
        <v>272</v>
      </c>
      <c r="F50" s="10" t="s">
        <v>289</v>
      </c>
      <c r="G50" s="10" t="s">
        <v>48</v>
      </c>
      <c r="H50" s="6" t="str">
        <f t="shared" si="0"/>
        <v>5.5 x 58</v>
      </c>
      <c r="I50" s="10" t="s">
        <v>274</v>
      </c>
      <c r="J50" s="10">
        <v>18.600000000000001</v>
      </c>
      <c r="K50" s="10">
        <v>5.5</v>
      </c>
      <c r="L50" s="10">
        <v>58</v>
      </c>
      <c r="M50" s="11" t="s">
        <v>60</v>
      </c>
      <c r="N50" s="11">
        <v>20</v>
      </c>
      <c r="O50" s="8">
        <v>3.4936199999999999</v>
      </c>
      <c r="P50" s="12">
        <v>5404021000721</v>
      </c>
      <c r="Q50" s="6" t="s">
        <v>290</v>
      </c>
      <c r="R50" s="10" t="s">
        <v>62</v>
      </c>
      <c r="S50" s="10" t="s">
        <v>53</v>
      </c>
      <c r="T50" s="10"/>
      <c r="U50" s="10"/>
    </row>
    <row r="51" spans="1:21" ht="18" customHeight="1">
      <c r="A51" s="6" t="s">
        <v>291</v>
      </c>
      <c r="B51" s="6" t="s">
        <v>292</v>
      </c>
      <c r="C51" s="6" t="s">
        <v>293</v>
      </c>
      <c r="D51" s="6" t="s">
        <v>179</v>
      </c>
      <c r="E51" s="6" t="s">
        <v>272</v>
      </c>
      <c r="F51" s="6" t="s">
        <v>294</v>
      </c>
      <c r="G51" s="6" t="s">
        <v>191</v>
      </c>
      <c r="H51" s="6" t="str">
        <f t="shared" si="0"/>
        <v>7 x 54</v>
      </c>
      <c r="I51" s="6" t="s">
        <v>274</v>
      </c>
      <c r="J51" s="6">
        <v>19.8</v>
      </c>
      <c r="K51" s="6">
        <v>7</v>
      </c>
      <c r="L51" s="6">
        <v>54</v>
      </c>
      <c r="M51" s="7" t="s">
        <v>60</v>
      </c>
      <c r="N51" s="7">
        <v>20</v>
      </c>
      <c r="O51" s="8">
        <v>3.8338199999999998</v>
      </c>
      <c r="P51" s="9">
        <v>5404021000806</v>
      </c>
      <c r="Q51" s="6" t="s">
        <v>295</v>
      </c>
      <c r="R51" s="6" t="s">
        <v>62</v>
      </c>
      <c r="S51" s="6" t="s">
        <v>53</v>
      </c>
      <c r="T51" s="6"/>
      <c r="U51" s="6"/>
    </row>
    <row r="52" spans="1:21" ht="18" customHeight="1">
      <c r="A52" s="10" t="s">
        <v>296</v>
      </c>
      <c r="B52" s="10" t="s">
        <v>297</v>
      </c>
      <c r="C52" s="10" t="s">
        <v>298</v>
      </c>
      <c r="D52" s="10" t="s">
        <v>179</v>
      </c>
      <c r="E52" s="10" t="s">
        <v>272</v>
      </c>
      <c r="F52" s="10" t="s">
        <v>299</v>
      </c>
      <c r="G52" s="10" t="s">
        <v>240</v>
      </c>
      <c r="H52" s="6" t="str">
        <f t="shared" si="0"/>
        <v>5 x 54</v>
      </c>
      <c r="I52" s="10" t="s">
        <v>274</v>
      </c>
      <c r="J52" s="10">
        <v>11.74</v>
      </c>
      <c r="K52" s="10">
        <v>5</v>
      </c>
      <c r="L52" s="10">
        <v>54</v>
      </c>
      <c r="M52" s="11" t="s">
        <v>60</v>
      </c>
      <c r="N52" s="11">
        <v>20</v>
      </c>
      <c r="O52" s="8">
        <v>3.4936199999999999</v>
      </c>
      <c r="P52" s="12">
        <v>5404021000646</v>
      </c>
      <c r="Q52" s="6" t="s">
        <v>300</v>
      </c>
      <c r="R52" s="10" t="s">
        <v>62</v>
      </c>
      <c r="S52" s="10" t="s">
        <v>53</v>
      </c>
      <c r="T52" s="10"/>
      <c r="U52" s="10"/>
    </row>
    <row r="53" spans="1:21" ht="18" customHeight="1">
      <c r="A53" s="6" t="s">
        <v>301</v>
      </c>
      <c r="B53" s="6" t="s">
        <v>302</v>
      </c>
      <c r="C53" s="6" t="s">
        <v>303</v>
      </c>
      <c r="D53" s="6" t="s">
        <v>179</v>
      </c>
      <c r="E53" s="6" t="s">
        <v>272</v>
      </c>
      <c r="F53" s="6" t="s">
        <v>304</v>
      </c>
      <c r="G53" s="6" t="s">
        <v>240</v>
      </c>
      <c r="H53" s="6" t="str">
        <f t="shared" si="0"/>
        <v>7.125 x 58</v>
      </c>
      <c r="I53" s="6" t="s">
        <v>274</v>
      </c>
      <c r="J53" s="6">
        <v>21.06</v>
      </c>
      <c r="K53" s="6">
        <v>7.125</v>
      </c>
      <c r="L53" s="6">
        <v>58</v>
      </c>
      <c r="M53" s="7" t="s">
        <v>60</v>
      </c>
      <c r="N53" s="7">
        <v>20</v>
      </c>
      <c r="O53" s="8">
        <v>6.1579800000000002</v>
      </c>
      <c r="P53" s="9">
        <v>5404021000844</v>
      </c>
      <c r="Q53" s="6" t="s">
        <v>305</v>
      </c>
      <c r="R53" s="6" t="s">
        <v>62</v>
      </c>
      <c r="S53" s="6" t="s">
        <v>53</v>
      </c>
      <c r="T53" s="6"/>
      <c r="U53" s="6"/>
    </row>
    <row r="54" spans="1:21" ht="18" customHeight="1">
      <c r="A54" s="10" t="s">
        <v>306</v>
      </c>
      <c r="B54" s="10" t="s">
        <v>307</v>
      </c>
      <c r="C54" s="10" t="s">
        <v>308</v>
      </c>
      <c r="D54" s="10" t="s">
        <v>179</v>
      </c>
      <c r="E54" s="10" t="s">
        <v>71</v>
      </c>
      <c r="F54" s="10" t="s">
        <v>309</v>
      </c>
      <c r="G54" s="10" t="s">
        <v>48</v>
      </c>
      <c r="H54" s="6" t="str">
        <f t="shared" si="0"/>
        <v>5 x 52</v>
      </c>
      <c r="I54" s="10" t="s">
        <v>73</v>
      </c>
      <c r="J54" s="10">
        <v>14.29</v>
      </c>
      <c r="K54" s="10">
        <v>5</v>
      </c>
      <c r="L54" s="10">
        <v>52</v>
      </c>
      <c r="M54" s="11" t="s">
        <v>60</v>
      </c>
      <c r="N54" s="11">
        <v>21</v>
      </c>
      <c r="O54" s="8">
        <v>3.0087742857142898</v>
      </c>
      <c r="P54" s="12">
        <v>5404021008154</v>
      </c>
      <c r="Q54" s="6" t="s">
        <v>310</v>
      </c>
      <c r="R54" s="10" t="s">
        <v>62</v>
      </c>
      <c r="S54" s="10" t="s">
        <v>53</v>
      </c>
      <c r="T54" s="10"/>
      <c r="U54" s="10"/>
    </row>
    <row r="55" spans="1:21" ht="18" customHeight="1">
      <c r="A55" s="6" t="s">
        <v>311</v>
      </c>
      <c r="B55" s="6" t="s">
        <v>312</v>
      </c>
      <c r="C55" s="6" t="s">
        <v>313</v>
      </c>
      <c r="D55" s="6" t="s">
        <v>179</v>
      </c>
      <c r="E55" s="6" t="s">
        <v>71</v>
      </c>
      <c r="F55" s="6" t="s">
        <v>314</v>
      </c>
      <c r="G55" s="6" t="s">
        <v>48</v>
      </c>
      <c r="H55" s="6" t="str">
        <f t="shared" si="0"/>
        <v>7 x 40</v>
      </c>
      <c r="I55" s="6" t="s">
        <v>315</v>
      </c>
      <c r="J55" s="6">
        <v>11.23</v>
      </c>
      <c r="K55" s="6">
        <v>7</v>
      </c>
      <c r="L55" s="6">
        <v>40</v>
      </c>
      <c r="M55" s="7" t="s">
        <v>60</v>
      </c>
      <c r="N55" s="7">
        <v>21</v>
      </c>
      <c r="O55" s="8">
        <v>3.16417428571429</v>
      </c>
      <c r="P55" s="9">
        <v>5404021008093</v>
      </c>
      <c r="Q55" s="6" t="s">
        <v>316</v>
      </c>
      <c r="R55" s="6" t="s">
        <v>62</v>
      </c>
      <c r="S55" s="6" t="s">
        <v>53</v>
      </c>
      <c r="T55" s="6"/>
      <c r="U55" s="6"/>
    </row>
    <row r="56" spans="1:21">
      <c r="A56" s="13" t="s">
        <v>317</v>
      </c>
      <c r="B56" s="13" t="s">
        <v>318</v>
      </c>
      <c r="C56" s="13" t="s">
        <v>319</v>
      </c>
      <c r="D56" s="14" t="s">
        <v>179</v>
      </c>
      <c r="E56" s="14" t="s">
        <v>71</v>
      </c>
      <c r="F56" t="s">
        <v>320</v>
      </c>
      <c r="G56" s="15" t="s">
        <v>48</v>
      </c>
      <c r="H56" s="6" t="str">
        <f t="shared" si="0"/>
        <v>5 x 52</v>
      </c>
      <c r="I56" s="10" t="s">
        <v>73</v>
      </c>
      <c r="J56" s="10">
        <v>14.29</v>
      </c>
      <c r="K56" s="10">
        <v>5</v>
      </c>
      <c r="L56" s="10">
        <v>52</v>
      </c>
      <c r="M56" s="16" t="s">
        <v>60</v>
      </c>
      <c r="N56" s="16" t="s">
        <v>321</v>
      </c>
      <c r="O56" s="17">
        <v>3.0087742857142898</v>
      </c>
      <c r="P56" s="12">
        <v>5404021008154</v>
      </c>
      <c r="Q56" s="6" t="s">
        <v>310</v>
      </c>
      <c r="R56" s="6" t="s">
        <v>62</v>
      </c>
      <c r="S56" s="10" t="s">
        <v>322</v>
      </c>
    </row>
    <row r="57" spans="1:21">
      <c r="A57" s="13" t="s">
        <v>323</v>
      </c>
      <c r="B57" s="13" t="s">
        <v>324</v>
      </c>
      <c r="C57" s="13" t="s">
        <v>325</v>
      </c>
      <c r="D57" s="14" t="s">
        <v>179</v>
      </c>
      <c r="E57" s="14" t="s">
        <v>71</v>
      </c>
      <c r="F57" t="s">
        <v>326</v>
      </c>
      <c r="G57" s="15" t="s">
        <v>48</v>
      </c>
      <c r="H57" s="6" t="str">
        <f t="shared" si="0"/>
        <v>5 x 52</v>
      </c>
      <c r="I57" s="10" t="s">
        <v>73</v>
      </c>
      <c r="J57" s="10">
        <v>14.29</v>
      </c>
      <c r="K57" s="6">
        <v>5</v>
      </c>
      <c r="L57" s="10">
        <v>52</v>
      </c>
      <c r="M57" s="16" t="s">
        <v>327</v>
      </c>
      <c r="N57" s="16">
        <v>10</v>
      </c>
      <c r="O57" s="17">
        <v>2.7180599999999999</v>
      </c>
      <c r="P57" s="12">
        <v>5404021007676</v>
      </c>
      <c r="Q57" s="6" t="s">
        <v>310</v>
      </c>
      <c r="R57" s="6" t="s">
        <v>62</v>
      </c>
      <c r="S57" s="10" t="s">
        <v>322</v>
      </c>
    </row>
    <row r="58" spans="1:21">
      <c r="A58" s="13" t="s">
        <v>328</v>
      </c>
      <c r="B58" s="13" t="s">
        <v>329</v>
      </c>
      <c r="C58" s="13" t="s">
        <v>330</v>
      </c>
      <c r="D58" s="14" t="s">
        <v>179</v>
      </c>
      <c r="E58" s="14" t="s">
        <v>71</v>
      </c>
      <c r="F58" t="s">
        <v>331</v>
      </c>
      <c r="G58" s="15" t="s">
        <v>48</v>
      </c>
      <c r="H58" s="6" t="str">
        <f t="shared" si="0"/>
        <v>5 x 52</v>
      </c>
      <c r="I58" s="10" t="s">
        <v>73</v>
      </c>
      <c r="J58" s="10">
        <v>14.29</v>
      </c>
      <c r="K58" s="10">
        <v>5</v>
      </c>
      <c r="L58" s="10">
        <v>52</v>
      </c>
      <c r="M58" s="16" t="s">
        <v>327</v>
      </c>
      <c r="N58" s="16">
        <v>10</v>
      </c>
      <c r="O58" s="17">
        <v>2.09646</v>
      </c>
      <c r="P58" s="12">
        <v>5404021001865</v>
      </c>
      <c r="Q58" s="6" t="s">
        <v>310</v>
      </c>
      <c r="R58" s="6" t="s">
        <v>62</v>
      </c>
      <c r="S58" s="10" t="s">
        <v>322</v>
      </c>
    </row>
    <row r="59" spans="1:21">
      <c r="A59" s="13" t="s">
        <v>332</v>
      </c>
      <c r="B59" s="13" t="s">
        <v>333</v>
      </c>
      <c r="C59" s="13" t="s">
        <v>334</v>
      </c>
      <c r="D59" s="14" t="s">
        <v>179</v>
      </c>
      <c r="E59" s="14" t="s">
        <v>71</v>
      </c>
      <c r="F59" t="s">
        <v>335</v>
      </c>
      <c r="G59" s="15" t="s">
        <v>48</v>
      </c>
      <c r="H59" s="6" t="str">
        <f t="shared" si="0"/>
        <v>5 x 52</v>
      </c>
      <c r="I59" s="10" t="s">
        <v>73</v>
      </c>
      <c r="J59" s="10">
        <v>14.29</v>
      </c>
      <c r="K59" s="6">
        <v>5</v>
      </c>
      <c r="L59" s="10">
        <v>52</v>
      </c>
      <c r="M59" s="16" t="s">
        <v>60</v>
      </c>
      <c r="N59" s="16">
        <v>21</v>
      </c>
      <c r="O59" s="17">
        <v>2.3871742857142899</v>
      </c>
      <c r="P59" s="12">
        <v>5404021001858</v>
      </c>
      <c r="Q59" s="6" t="s">
        <v>310</v>
      </c>
      <c r="R59" s="6" t="s">
        <v>62</v>
      </c>
      <c r="S59" s="10" t="s">
        <v>322</v>
      </c>
    </row>
    <row r="60" spans="1:21">
      <c r="A60" s="13" t="s">
        <v>336</v>
      </c>
      <c r="B60" s="13" t="s">
        <v>337</v>
      </c>
      <c r="C60" s="13" t="s">
        <v>338</v>
      </c>
      <c r="D60" s="14" t="s">
        <v>179</v>
      </c>
      <c r="E60" s="14" t="s">
        <v>71</v>
      </c>
      <c r="F60" t="s">
        <v>339</v>
      </c>
      <c r="G60" s="15" t="s">
        <v>48</v>
      </c>
      <c r="H60" s="6" t="str">
        <f t="shared" si="0"/>
        <v xml:space="preserve"> x </v>
      </c>
      <c r="I60" s="6" t="s">
        <v>49</v>
      </c>
      <c r="J60" s="10"/>
      <c r="K60" s="10"/>
      <c r="L60" s="10"/>
      <c r="M60" s="16" t="s">
        <v>50</v>
      </c>
      <c r="N60" s="16">
        <v>8</v>
      </c>
      <c r="O60" s="17">
        <v>3.3934799999999998</v>
      </c>
      <c r="P60" s="12">
        <v>5404021001193</v>
      </c>
      <c r="Q60" s="6" t="s">
        <v>340</v>
      </c>
      <c r="R60" s="6" t="s">
        <v>62</v>
      </c>
      <c r="S60" s="10" t="s">
        <v>322</v>
      </c>
    </row>
    <row r="61" spans="1:21">
      <c r="A61" s="13" t="s">
        <v>341</v>
      </c>
      <c r="B61" s="13" t="s">
        <v>342</v>
      </c>
      <c r="C61" s="13" t="s">
        <v>343</v>
      </c>
      <c r="D61" s="14" t="s">
        <v>179</v>
      </c>
      <c r="E61" s="14" t="s">
        <v>71</v>
      </c>
      <c r="F61" t="s">
        <v>344</v>
      </c>
      <c r="G61" s="15" t="s">
        <v>48</v>
      </c>
      <c r="H61" s="6" t="str">
        <f t="shared" si="0"/>
        <v>5 x 52</v>
      </c>
      <c r="I61" s="10" t="s">
        <v>73</v>
      </c>
      <c r="J61" s="10">
        <v>14.29</v>
      </c>
      <c r="K61" s="6">
        <v>5</v>
      </c>
      <c r="L61" s="10">
        <v>52</v>
      </c>
      <c r="M61" s="16" t="s">
        <v>50</v>
      </c>
      <c r="N61" s="16" t="s">
        <v>345</v>
      </c>
      <c r="O61" s="17">
        <v>2.5757400000000001</v>
      </c>
      <c r="P61" s="12">
        <v>5404021001209</v>
      </c>
      <c r="Q61" s="6" t="s">
        <v>346</v>
      </c>
      <c r="R61" s="6" t="s">
        <v>62</v>
      </c>
      <c r="S61" s="10" t="s">
        <v>322</v>
      </c>
    </row>
    <row r="62" spans="1:21">
      <c r="A62" s="13" t="s">
        <v>347</v>
      </c>
      <c r="B62" s="13" t="s">
        <v>348</v>
      </c>
      <c r="C62" s="13" t="s">
        <v>349</v>
      </c>
      <c r="D62" s="14" t="s">
        <v>179</v>
      </c>
      <c r="E62" s="14" t="s">
        <v>71</v>
      </c>
      <c r="F62" t="s">
        <v>350</v>
      </c>
      <c r="G62" s="15" t="s">
        <v>48</v>
      </c>
      <c r="H62" s="6" t="str">
        <f t="shared" si="0"/>
        <v>5 x 52</v>
      </c>
      <c r="I62" s="10" t="s">
        <v>73</v>
      </c>
      <c r="J62" s="10">
        <v>14.29</v>
      </c>
      <c r="K62" s="10">
        <v>5</v>
      </c>
      <c r="L62" s="10">
        <v>52</v>
      </c>
      <c r="M62" s="16" t="s">
        <v>50</v>
      </c>
      <c r="N62" s="16">
        <v>9</v>
      </c>
      <c r="O62" s="17">
        <v>4.8829799999999999</v>
      </c>
      <c r="P62" s="12">
        <v>5404021001162</v>
      </c>
      <c r="Q62" s="6" t="s">
        <v>351</v>
      </c>
      <c r="R62" s="6" t="s">
        <v>62</v>
      </c>
      <c r="S62" s="10" t="s">
        <v>322</v>
      </c>
    </row>
    <row r="63" spans="1:21">
      <c r="A63" s="13" t="s">
        <v>352</v>
      </c>
      <c r="B63" s="13" t="s">
        <v>353</v>
      </c>
      <c r="C63" s="13" t="s">
        <v>354</v>
      </c>
      <c r="D63" s="14" t="s">
        <v>179</v>
      </c>
      <c r="E63" s="6" t="s">
        <v>272</v>
      </c>
      <c r="F63" t="s">
        <v>304</v>
      </c>
      <c r="G63" s="6" t="s">
        <v>240</v>
      </c>
      <c r="H63" s="6" t="str">
        <f t="shared" si="0"/>
        <v>7.125 x 58</v>
      </c>
      <c r="I63" s="6" t="s">
        <v>274</v>
      </c>
      <c r="J63" s="6">
        <v>21.06</v>
      </c>
      <c r="K63" s="6">
        <v>7.125</v>
      </c>
      <c r="L63" s="6">
        <v>58</v>
      </c>
      <c r="M63" s="16" t="s">
        <v>60</v>
      </c>
      <c r="N63" s="16" t="s">
        <v>355</v>
      </c>
      <c r="O63" s="17">
        <v>6.1579800000000002</v>
      </c>
      <c r="P63" s="12">
        <v>5404021000844</v>
      </c>
      <c r="Q63" s="6" t="s">
        <v>305</v>
      </c>
      <c r="R63" s="6" t="s">
        <v>62</v>
      </c>
      <c r="S63" s="10" t="s">
        <v>322</v>
      </c>
    </row>
    <row r="64" spans="1:21">
      <c r="A64" s="13" t="s">
        <v>356</v>
      </c>
      <c r="B64" s="13" t="s">
        <v>357</v>
      </c>
      <c r="C64" s="13" t="s">
        <v>358</v>
      </c>
      <c r="D64" s="14" t="s">
        <v>179</v>
      </c>
      <c r="E64" s="6" t="s">
        <v>272</v>
      </c>
      <c r="F64" t="s">
        <v>359</v>
      </c>
      <c r="G64" s="10" t="s">
        <v>240</v>
      </c>
      <c r="H64" s="6" t="str">
        <f t="shared" si="0"/>
        <v>5 x 54</v>
      </c>
      <c r="I64" s="10" t="s">
        <v>274</v>
      </c>
      <c r="J64" s="10">
        <v>11.74</v>
      </c>
      <c r="K64" s="10">
        <v>5</v>
      </c>
      <c r="L64" s="10">
        <v>54</v>
      </c>
      <c r="M64" s="16" t="s">
        <v>60</v>
      </c>
      <c r="N64" s="16" t="s">
        <v>360</v>
      </c>
      <c r="O64" s="17">
        <v>3.2959800000000001</v>
      </c>
      <c r="P64" s="12">
        <v>5404021000677</v>
      </c>
      <c r="Q64" s="6" t="s">
        <v>300</v>
      </c>
      <c r="R64" s="6" t="s">
        <v>62</v>
      </c>
      <c r="S64" s="10" t="s">
        <v>322</v>
      </c>
    </row>
    <row r="65" spans="1:19">
      <c r="A65" s="13" t="s">
        <v>361</v>
      </c>
      <c r="B65" s="13" t="s">
        <v>357</v>
      </c>
      <c r="C65" s="13" t="s">
        <v>358</v>
      </c>
      <c r="D65" s="14" t="s">
        <v>179</v>
      </c>
      <c r="E65" s="6" t="s">
        <v>272</v>
      </c>
      <c r="F65" t="s">
        <v>359</v>
      </c>
      <c r="G65" s="10" t="s">
        <v>240</v>
      </c>
      <c r="H65" s="6" t="str">
        <f t="shared" si="0"/>
        <v>5 x 54</v>
      </c>
      <c r="I65" s="10" t="s">
        <v>274</v>
      </c>
      <c r="J65" s="10">
        <v>11.74</v>
      </c>
      <c r="K65" s="10">
        <v>5</v>
      </c>
      <c r="L65" s="10">
        <v>54</v>
      </c>
      <c r="M65" s="16" t="s">
        <v>60</v>
      </c>
      <c r="N65" s="16" t="s">
        <v>360</v>
      </c>
      <c r="O65" s="17">
        <v>3.2959800000000001</v>
      </c>
      <c r="P65" s="12">
        <v>5404021000677</v>
      </c>
      <c r="Q65" s="6" t="s">
        <v>300</v>
      </c>
      <c r="R65" s="6" t="s">
        <v>62</v>
      </c>
      <c r="S65" s="10" t="s">
        <v>322</v>
      </c>
    </row>
    <row r="66" spans="1:19">
      <c r="A66" s="13" t="s">
        <v>362</v>
      </c>
      <c r="B66" s="13" t="s">
        <v>363</v>
      </c>
      <c r="C66" s="13" t="s">
        <v>364</v>
      </c>
      <c r="D66" s="14" t="s">
        <v>179</v>
      </c>
      <c r="E66" s="6" t="s">
        <v>272</v>
      </c>
      <c r="F66" t="s">
        <v>299</v>
      </c>
      <c r="G66" s="10" t="s">
        <v>240</v>
      </c>
      <c r="H66" s="6" t="str">
        <f t="shared" si="0"/>
        <v>5 x 54</v>
      </c>
      <c r="I66" s="10" t="s">
        <v>274</v>
      </c>
      <c r="J66" s="10">
        <v>11.74</v>
      </c>
      <c r="K66" s="10">
        <v>5</v>
      </c>
      <c r="L66" s="10">
        <v>54</v>
      </c>
      <c r="M66" s="16" t="s">
        <v>60</v>
      </c>
      <c r="N66" s="16" t="s">
        <v>355</v>
      </c>
      <c r="O66" s="17">
        <v>3.4936199999999999</v>
      </c>
      <c r="P66" s="12">
        <v>5404021000646</v>
      </c>
      <c r="Q66" s="6" t="s">
        <v>300</v>
      </c>
      <c r="R66" s="6" t="s">
        <v>62</v>
      </c>
      <c r="S66" s="10" t="s">
        <v>322</v>
      </c>
    </row>
    <row r="67" spans="1:19">
      <c r="A67" s="13" t="s">
        <v>365</v>
      </c>
      <c r="B67" s="13" t="s">
        <v>363</v>
      </c>
      <c r="C67" s="13" t="s">
        <v>364</v>
      </c>
      <c r="D67" s="14" t="s">
        <v>179</v>
      </c>
      <c r="E67" s="6" t="s">
        <v>272</v>
      </c>
      <c r="F67" t="s">
        <v>299</v>
      </c>
      <c r="G67" s="10" t="s">
        <v>240</v>
      </c>
      <c r="H67" s="6" t="str">
        <f t="shared" si="0"/>
        <v>5 x 54</v>
      </c>
      <c r="I67" s="10" t="s">
        <v>274</v>
      </c>
      <c r="J67" s="10">
        <v>11.74</v>
      </c>
      <c r="K67" s="10">
        <v>5</v>
      </c>
      <c r="L67" s="10">
        <v>54</v>
      </c>
      <c r="M67" s="16" t="s">
        <v>60</v>
      </c>
      <c r="N67" s="16" t="s">
        <v>355</v>
      </c>
      <c r="O67" s="17">
        <v>3.4936199999999999</v>
      </c>
      <c r="P67" s="12">
        <v>5404021000646</v>
      </c>
      <c r="Q67" s="6" t="s">
        <v>300</v>
      </c>
      <c r="R67" s="6" t="s">
        <v>62</v>
      </c>
      <c r="S67" s="10" t="s">
        <v>322</v>
      </c>
    </row>
    <row r="68" spans="1:19">
      <c r="A68" s="13" t="s">
        <v>366</v>
      </c>
      <c r="B68" s="13" t="s">
        <v>363</v>
      </c>
      <c r="C68" s="13" t="s">
        <v>364</v>
      </c>
      <c r="D68" s="14" t="s">
        <v>179</v>
      </c>
      <c r="E68" s="6" t="s">
        <v>272</v>
      </c>
      <c r="F68" t="s">
        <v>299</v>
      </c>
      <c r="G68" s="10" t="s">
        <v>240</v>
      </c>
      <c r="H68" s="6" t="str">
        <f t="shared" ref="H68:H131" si="1">K68&amp;" x "&amp;L68</f>
        <v>5 x 54</v>
      </c>
      <c r="I68" s="10" t="s">
        <v>274</v>
      </c>
      <c r="J68" s="10">
        <v>11.74</v>
      </c>
      <c r="K68" s="10">
        <v>5</v>
      </c>
      <c r="L68" s="10">
        <v>54</v>
      </c>
      <c r="M68" s="16" t="s">
        <v>60</v>
      </c>
      <c r="N68" s="16" t="s">
        <v>355</v>
      </c>
      <c r="O68" s="17">
        <v>3.4936199999999999</v>
      </c>
      <c r="P68" s="12">
        <v>5404021000646</v>
      </c>
      <c r="Q68" s="6" t="s">
        <v>300</v>
      </c>
      <c r="R68" s="6" t="s">
        <v>62</v>
      </c>
      <c r="S68" s="10" t="s">
        <v>322</v>
      </c>
    </row>
    <row r="69" spans="1:19">
      <c r="A69" s="13" t="s">
        <v>366</v>
      </c>
      <c r="B69" s="13" t="s">
        <v>363</v>
      </c>
      <c r="C69" s="13" t="s">
        <v>364</v>
      </c>
      <c r="D69" s="14" t="s">
        <v>179</v>
      </c>
      <c r="E69" s="6" t="s">
        <v>272</v>
      </c>
      <c r="F69" t="s">
        <v>299</v>
      </c>
      <c r="G69" s="10" t="s">
        <v>240</v>
      </c>
      <c r="H69" s="6" t="str">
        <f t="shared" si="1"/>
        <v>5 x 54</v>
      </c>
      <c r="I69" s="10" t="s">
        <v>274</v>
      </c>
      <c r="J69" s="10">
        <v>11.74</v>
      </c>
      <c r="K69" s="10">
        <v>5</v>
      </c>
      <c r="L69" s="10">
        <v>54</v>
      </c>
      <c r="M69" s="16" t="s">
        <v>60</v>
      </c>
      <c r="N69" s="16" t="s">
        <v>355</v>
      </c>
      <c r="O69" s="17">
        <v>3.4936199999999999</v>
      </c>
      <c r="P69" s="12">
        <v>5404021000646</v>
      </c>
      <c r="Q69" s="6" t="s">
        <v>300</v>
      </c>
      <c r="R69" s="6" t="s">
        <v>62</v>
      </c>
      <c r="S69" s="10" t="s">
        <v>322</v>
      </c>
    </row>
    <row r="70" spans="1:19">
      <c r="A70" s="13" t="s">
        <v>367</v>
      </c>
      <c r="B70" s="13" t="s">
        <v>368</v>
      </c>
      <c r="C70" s="13" t="s">
        <v>369</v>
      </c>
      <c r="D70" s="14" t="s">
        <v>179</v>
      </c>
      <c r="E70" s="6" t="s">
        <v>272</v>
      </c>
      <c r="F70" t="s">
        <v>294</v>
      </c>
      <c r="G70" s="6" t="s">
        <v>191</v>
      </c>
      <c r="H70" s="6" t="str">
        <f t="shared" si="1"/>
        <v>7 x 54</v>
      </c>
      <c r="I70" s="6" t="s">
        <v>274</v>
      </c>
      <c r="J70" s="6">
        <v>19.8</v>
      </c>
      <c r="K70" s="6">
        <v>7</v>
      </c>
      <c r="L70" s="6">
        <v>54</v>
      </c>
      <c r="M70" s="16" t="s">
        <v>60</v>
      </c>
      <c r="N70" s="16" t="s">
        <v>355</v>
      </c>
      <c r="O70" s="17">
        <v>3.8338199999999998</v>
      </c>
      <c r="P70" s="12">
        <v>5404021000806</v>
      </c>
      <c r="Q70" s="6" t="s">
        <v>295</v>
      </c>
      <c r="R70" s="6" t="s">
        <v>62</v>
      </c>
      <c r="S70" s="10" t="s">
        <v>322</v>
      </c>
    </row>
    <row r="71" spans="1:19">
      <c r="A71" s="13" t="s">
        <v>370</v>
      </c>
      <c r="B71" s="13" t="s">
        <v>371</v>
      </c>
      <c r="C71" s="13" t="s">
        <v>372</v>
      </c>
      <c r="D71" s="14" t="s">
        <v>179</v>
      </c>
      <c r="E71" s="6" t="s">
        <v>272</v>
      </c>
      <c r="F71" t="s">
        <v>373</v>
      </c>
      <c r="G71" s="6" t="s">
        <v>191</v>
      </c>
      <c r="H71" s="6" t="str">
        <f t="shared" si="1"/>
        <v>7 x 54</v>
      </c>
      <c r="I71" s="6" t="s">
        <v>274</v>
      </c>
      <c r="J71" s="6">
        <v>19.8</v>
      </c>
      <c r="K71" s="6">
        <v>7</v>
      </c>
      <c r="L71" s="6">
        <v>54</v>
      </c>
      <c r="M71" s="16" t="s">
        <v>60</v>
      </c>
      <c r="N71" s="16" t="s">
        <v>360</v>
      </c>
      <c r="O71" s="17">
        <v>3.63618</v>
      </c>
      <c r="P71" s="12">
        <v>5404021000837</v>
      </c>
      <c r="Q71" s="6" t="s">
        <v>295</v>
      </c>
      <c r="R71" s="6" t="s">
        <v>62</v>
      </c>
      <c r="S71" s="10" t="s">
        <v>322</v>
      </c>
    </row>
    <row r="72" spans="1:19">
      <c r="A72" s="13" t="s">
        <v>374</v>
      </c>
      <c r="B72" s="13" t="s">
        <v>375</v>
      </c>
      <c r="C72" s="13" t="s">
        <v>376</v>
      </c>
      <c r="D72" s="14" t="s">
        <v>179</v>
      </c>
      <c r="E72" s="6" t="s">
        <v>272</v>
      </c>
      <c r="F72" t="s">
        <v>377</v>
      </c>
      <c r="G72" s="10" t="s">
        <v>48</v>
      </c>
      <c r="H72" s="6" t="str">
        <f t="shared" si="1"/>
        <v>7 x 54</v>
      </c>
      <c r="I72" s="10" t="s">
        <v>274</v>
      </c>
      <c r="J72" s="10">
        <v>20</v>
      </c>
      <c r="K72" s="10">
        <v>7</v>
      </c>
      <c r="L72" s="10">
        <v>54</v>
      </c>
      <c r="M72" s="16" t="s">
        <v>60</v>
      </c>
      <c r="N72" s="16" t="s">
        <v>378</v>
      </c>
      <c r="O72" s="17">
        <v>4.0444199999999997</v>
      </c>
      <c r="P72" s="12">
        <v>5404021000776</v>
      </c>
      <c r="Q72" s="6" t="s">
        <v>280</v>
      </c>
      <c r="R72" s="6" t="s">
        <v>62</v>
      </c>
      <c r="S72" s="10" t="s">
        <v>322</v>
      </c>
    </row>
    <row r="73" spans="1:19">
      <c r="A73" s="13" t="s">
        <v>379</v>
      </c>
      <c r="B73" s="13" t="s">
        <v>380</v>
      </c>
      <c r="C73" s="13" t="s">
        <v>381</v>
      </c>
      <c r="D73" s="14" t="s">
        <v>179</v>
      </c>
      <c r="E73" s="6" t="s">
        <v>272</v>
      </c>
      <c r="F73" t="s">
        <v>279</v>
      </c>
      <c r="G73" s="10" t="s">
        <v>48</v>
      </c>
      <c r="H73" s="6" t="str">
        <f t="shared" si="1"/>
        <v>7 x 54</v>
      </c>
      <c r="I73" s="10" t="s">
        <v>274</v>
      </c>
      <c r="J73" s="10">
        <v>20</v>
      </c>
      <c r="K73" s="10">
        <v>7</v>
      </c>
      <c r="L73" s="10">
        <v>54</v>
      </c>
      <c r="M73" s="16" t="s">
        <v>60</v>
      </c>
      <c r="N73" s="16" t="s">
        <v>355</v>
      </c>
      <c r="O73" s="17">
        <v>3.7204199999999998</v>
      </c>
      <c r="P73" s="12">
        <v>5404021000769</v>
      </c>
      <c r="Q73" s="6" t="s">
        <v>280</v>
      </c>
      <c r="R73" s="6" t="s">
        <v>62</v>
      </c>
      <c r="S73" s="10" t="s">
        <v>322</v>
      </c>
    </row>
    <row r="74" spans="1:19">
      <c r="A74" s="13" t="s">
        <v>382</v>
      </c>
      <c r="B74" s="13" t="s">
        <v>383</v>
      </c>
      <c r="C74" s="13" t="s">
        <v>384</v>
      </c>
      <c r="D74" s="14" t="s">
        <v>179</v>
      </c>
      <c r="E74" s="6" t="s">
        <v>272</v>
      </c>
      <c r="F74" t="s">
        <v>385</v>
      </c>
      <c r="G74" s="10" t="s">
        <v>48</v>
      </c>
      <c r="H74" s="6" t="str">
        <f t="shared" si="1"/>
        <v>5.5 x 58</v>
      </c>
      <c r="I74" s="10" t="s">
        <v>274</v>
      </c>
      <c r="J74" s="10">
        <v>18.600000000000001</v>
      </c>
      <c r="K74" s="10">
        <v>5.5</v>
      </c>
      <c r="L74" s="10">
        <v>58</v>
      </c>
      <c r="M74" s="16" t="s">
        <v>60</v>
      </c>
      <c r="N74" s="16" t="s">
        <v>360</v>
      </c>
      <c r="O74" s="17">
        <v>3.2959800000000001</v>
      </c>
      <c r="P74" s="12">
        <v>5404021000752</v>
      </c>
      <c r="Q74" s="6" t="s">
        <v>290</v>
      </c>
      <c r="R74" s="6" t="s">
        <v>62</v>
      </c>
      <c r="S74" s="10" t="s">
        <v>322</v>
      </c>
    </row>
    <row r="75" spans="1:19">
      <c r="A75" s="13" t="s">
        <v>386</v>
      </c>
      <c r="B75" s="13" t="s">
        <v>387</v>
      </c>
      <c r="C75" s="13" t="s">
        <v>388</v>
      </c>
      <c r="D75" s="14" t="s">
        <v>179</v>
      </c>
      <c r="E75" s="6" t="s">
        <v>272</v>
      </c>
      <c r="F75" t="s">
        <v>389</v>
      </c>
      <c r="G75" s="6" t="s">
        <v>48</v>
      </c>
      <c r="H75" s="6" t="str">
        <f t="shared" si="1"/>
        <v>5 x 50</v>
      </c>
      <c r="I75" s="6" t="s">
        <v>274</v>
      </c>
      <c r="J75" s="6">
        <v>12.25</v>
      </c>
      <c r="K75" s="6">
        <v>5</v>
      </c>
      <c r="L75" s="6">
        <v>50</v>
      </c>
      <c r="M75" s="16" t="s">
        <v>60</v>
      </c>
      <c r="N75" s="16" t="s">
        <v>360</v>
      </c>
      <c r="O75" s="17">
        <v>2.6609400000000001</v>
      </c>
      <c r="P75" s="12">
        <v>5404021000714</v>
      </c>
      <c r="Q75" s="6" t="s">
        <v>285</v>
      </c>
      <c r="R75" s="6" t="s">
        <v>62</v>
      </c>
      <c r="S75" s="10" t="s">
        <v>322</v>
      </c>
    </row>
    <row r="76" spans="1:19">
      <c r="A76" s="13" t="s">
        <v>390</v>
      </c>
      <c r="B76" s="13" t="s">
        <v>391</v>
      </c>
      <c r="C76" s="13" t="s">
        <v>392</v>
      </c>
      <c r="D76" s="14" t="s">
        <v>179</v>
      </c>
      <c r="E76" s="6" t="s">
        <v>272</v>
      </c>
      <c r="F76" t="s">
        <v>284</v>
      </c>
      <c r="G76" s="6" t="s">
        <v>48</v>
      </c>
      <c r="H76" s="6" t="str">
        <f t="shared" si="1"/>
        <v>5 x 50</v>
      </c>
      <c r="I76" s="6" t="s">
        <v>274</v>
      </c>
      <c r="J76" s="6">
        <v>12.25</v>
      </c>
      <c r="K76" s="6">
        <v>5</v>
      </c>
      <c r="L76" s="6">
        <v>50</v>
      </c>
      <c r="M76" s="16" t="s">
        <v>60</v>
      </c>
      <c r="N76" s="16" t="s">
        <v>355</v>
      </c>
      <c r="O76" s="17">
        <v>2.8585799999999999</v>
      </c>
      <c r="P76" s="12">
        <v>5404021000684</v>
      </c>
      <c r="Q76" s="6" t="s">
        <v>285</v>
      </c>
      <c r="R76" s="6" t="s">
        <v>62</v>
      </c>
      <c r="S76" s="10" t="s">
        <v>322</v>
      </c>
    </row>
    <row r="77" spans="1:19">
      <c r="A77" s="13" t="s">
        <v>393</v>
      </c>
      <c r="B77" s="13" t="s">
        <v>391</v>
      </c>
      <c r="C77" s="13" t="s">
        <v>392</v>
      </c>
      <c r="D77" s="14" t="s">
        <v>179</v>
      </c>
      <c r="E77" s="6" t="s">
        <v>272</v>
      </c>
      <c r="F77" t="s">
        <v>284</v>
      </c>
      <c r="G77" s="6" t="s">
        <v>48</v>
      </c>
      <c r="H77" s="6" t="str">
        <f t="shared" si="1"/>
        <v>5 x 50</v>
      </c>
      <c r="I77" s="6" t="s">
        <v>274</v>
      </c>
      <c r="J77" s="6">
        <v>12.25</v>
      </c>
      <c r="K77" s="6">
        <v>5</v>
      </c>
      <c r="L77" s="6">
        <v>50</v>
      </c>
      <c r="M77" s="16" t="s">
        <v>60</v>
      </c>
      <c r="N77" s="16" t="s">
        <v>355</v>
      </c>
      <c r="O77" s="17">
        <v>2.8585799999999999</v>
      </c>
      <c r="P77" s="12">
        <v>5404021000684</v>
      </c>
      <c r="Q77" s="6" t="s">
        <v>285</v>
      </c>
      <c r="R77" s="6" t="s">
        <v>62</v>
      </c>
      <c r="S77" s="10" t="s">
        <v>322</v>
      </c>
    </row>
    <row r="78" spans="1:19">
      <c r="A78" s="13" t="s">
        <v>394</v>
      </c>
      <c r="B78" s="13" t="s">
        <v>395</v>
      </c>
      <c r="C78" s="13" t="s">
        <v>396</v>
      </c>
      <c r="D78" s="14" t="s">
        <v>179</v>
      </c>
      <c r="E78" s="6" t="s">
        <v>272</v>
      </c>
      <c r="F78" t="s">
        <v>397</v>
      </c>
      <c r="G78" s="6" t="s">
        <v>48</v>
      </c>
      <c r="H78" s="6" t="str">
        <f t="shared" si="1"/>
        <v>5 x 50</v>
      </c>
      <c r="I78" s="6" t="s">
        <v>274</v>
      </c>
      <c r="J78" s="6">
        <v>12.25</v>
      </c>
      <c r="K78" s="6">
        <v>5</v>
      </c>
      <c r="L78" s="6">
        <v>50</v>
      </c>
      <c r="M78" s="16" t="s">
        <v>60</v>
      </c>
      <c r="N78" s="16" t="s">
        <v>378</v>
      </c>
      <c r="O78" s="17">
        <v>3.1825800000000002</v>
      </c>
      <c r="P78" s="12">
        <v>5404021000691</v>
      </c>
      <c r="Q78" s="6" t="s">
        <v>285</v>
      </c>
      <c r="R78" s="6" t="s">
        <v>62</v>
      </c>
      <c r="S78" s="10" t="s">
        <v>322</v>
      </c>
    </row>
    <row r="79" spans="1:19">
      <c r="A79" s="13" t="s">
        <v>398</v>
      </c>
      <c r="B79" s="13" t="s">
        <v>399</v>
      </c>
      <c r="C79" s="13" t="s">
        <v>400</v>
      </c>
      <c r="D79" s="14" t="s">
        <v>179</v>
      </c>
      <c r="E79" s="6" t="s">
        <v>272</v>
      </c>
      <c r="F79" t="s">
        <v>401</v>
      </c>
      <c r="G79" s="6" t="s">
        <v>48</v>
      </c>
      <c r="H79" s="6" t="str">
        <f t="shared" si="1"/>
        <v>5 x 50</v>
      </c>
      <c r="I79" s="6" t="s">
        <v>274</v>
      </c>
      <c r="J79" s="6">
        <v>12.25</v>
      </c>
      <c r="K79" s="6">
        <v>5</v>
      </c>
      <c r="L79" s="6">
        <v>50</v>
      </c>
      <c r="M79" s="11" t="s">
        <v>95</v>
      </c>
      <c r="N79" s="16" t="s">
        <v>355</v>
      </c>
      <c r="O79" s="17">
        <v>2.5615800000000002</v>
      </c>
      <c r="P79" s="12">
        <v>5404021000707</v>
      </c>
      <c r="Q79" s="6" t="s">
        <v>285</v>
      </c>
      <c r="R79" s="6" t="s">
        <v>62</v>
      </c>
      <c r="S79" s="10" t="s">
        <v>322</v>
      </c>
    </row>
    <row r="80" spans="1:19">
      <c r="A80" s="13" t="s">
        <v>402</v>
      </c>
      <c r="B80" s="13" t="s">
        <v>403</v>
      </c>
      <c r="C80" s="13" t="s">
        <v>404</v>
      </c>
      <c r="D80" s="14" t="s">
        <v>179</v>
      </c>
      <c r="E80" s="6" t="s">
        <v>272</v>
      </c>
      <c r="F80" t="s">
        <v>405</v>
      </c>
      <c r="G80" s="10" t="s">
        <v>48</v>
      </c>
      <c r="H80" s="6" t="str">
        <f t="shared" si="1"/>
        <v>5.5 x 58</v>
      </c>
      <c r="I80" s="10" t="s">
        <v>274</v>
      </c>
      <c r="J80" s="10">
        <v>18.600000000000001</v>
      </c>
      <c r="K80" s="10">
        <v>5.5</v>
      </c>
      <c r="L80" s="10">
        <v>58</v>
      </c>
      <c r="M80" s="11" t="s">
        <v>95</v>
      </c>
      <c r="N80" s="16" t="s">
        <v>355</v>
      </c>
      <c r="O80" s="17">
        <v>3.49</v>
      </c>
      <c r="P80" s="12">
        <v>5404021000745</v>
      </c>
      <c r="Q80" s="6" t="s">
        <v>290</v>
      </c>
      <c r="R80" s="6" t="s">
        <v>62</v>
      </c>
      <c r="S80" s="10" t="s">
        <v>322</v>
      </c>
    </row>
    <row r="81" spans="1:19">
      <c r="A81" s="13" t="s">
        <v>406</v>
      </c>
      <c r="B81" s="13" t="s">
        <v>407</v>
      </c>
      <c r="C81" s="13" t="s">
        <v>408</v>
      </c>
      <c r="D81" s="14" t="s">
        <v>179</v>
      </c>
      <c r="E81" s="6" t="s">
        <v>224</v>
      </c>
      <c r="F81" t="s">
        <v>409</v>
      </c>
      <c r="G81" s="6" t="s">
        <v>48</v>
      </c>
      <c r="H81" s="6" t="str">
        <f t="shared" si="1"/>
        <v>5.5 x 58</v>
      </c>
      <c r="I81" s="6" t="s">
        <v>73</v>
      </c>
      <c r="J81" s="6">
        <v>19.84</v>
      </c>
      <c r="K81" s="6">
        <v>5.5</v>
      </c>
      <c r="L81" s="6">
        <v>58</v>
      </c>
      <c r="M81" s="11" t="s">
        <v>95</v>
      </c>
      <c r="N81" s="16" t="s">
        <v>355</v>
      </c>
      <c r="O81" s="17">
        <v>2.3880699999999999</v>
      </c>
      <c r="P81" s="12">
        <v>5404021000448</v>
      </c>
      <c r="Q81" s="6" t="s">
        <v>264</v>
      </c>
      <c r="R81" s="6" t="s">
        <v>62</v>
      </c>
      <c r="S81" s="10" t="s">
        <v>322</v>
      </c>
    </row>
    <row r="82" spans="1:19">
      <c r="A82" s="13" t="s">
        <v>410</v>
      </c>
      <c r="B82" s="13" t="s">
        <v>407</v>
      </c>
      <c r="C82" s="13" t="s">
        <v>408</v>
      </c>
      <c r="D82" s="14" t="s">
        <v>179</v>
      </c>
      <c r="E82" s="6" t="s">
        <v>224</v>
      </c>
      <c r="F82" t="s">
        <v>409</v>
      </c>
      <c r="G82" s="6" t="s">
        <v>48</v>
      </c>
      <c r="H82" s="6" t="str">
        <f t="shared" si="1"/>
        <v>5.5 x 58</v>
      </c>
      <c r="I82" s="6" t="s">
        <v>73</v>
      </c>
      <c r="J82" s="6">
        <v>19.84</v>
      </c>
      <c r="K82" s="6">
        <v>5.5</v>
      </c>
      <c r="L82" s="6">
        <v>58</v>
      </c>
      <c r="M82" s="11" t="s">
        <v>95</v>
      </c>
      <c r="N82" s="16" t="s">
        <v>355</v>
      </c>
      <c r="O82" s="17">
        <v>2.3880699999999999</v>
      </c>
      <c r="P82" s="12">
        <v>5404021000448</v>
      </c>
      <c r="Q82" s="6" t="s">
        <v>264</v>
      </c>
      <c r="R82" s="6" t="s">
        <v>62</v>
      </c>
      <c r="S82" s="10" t="s">
        <v>322</v>
      </c>
    </row>
    <row r="83" spans="1:19">
      <c r="A83" s="13" t="s">
        <v>411</v>
      </c>
      <c r="B83" s="13" t="s">
        <v>407</v>
      </c>
      <c r="C83" s="13" t="s">
        <v>408</v>
      </c>
      <c r="D83" s="14" t="s">
        <v>179</v>
      </c>
      <c r="E83" s="6" t="s">
        <v>224</v>
      </c>
      <c r="F83" t="s">
        <v>409</v>
      </c>
      <c r="G83" s="6" t="s">
        <v>48</v>
      </c>
      <c r="H83" s="6" t="str">
        <f t="shared" si="1"/>
        <v>5.5 x 58</v>
      </c>
      <c r="I83" s="6" t="s">
        <v>73</v>
      </c>
      <c r="J83" s="6">
        <v>19.84</v>
      </c>
      <c r="K83" s="6">
        <v>5.5</v>
      </c>
      <c r="L83" s="6">
        <v>58</v>
      </c>
      <c r="M83" s="11" t="s">
        <v>95</v>
      </c>
      <c r="N83" s="16" t="s">
        <v>355</v>
      </c>
      <c r="O83" s="17">
        <v>2.3880699999999999</v>
      </c>
      <c r="P83" s="12">
        <v>5404021000448</v>
      </c>
      <c r="Q83" s="6" t="s">
        <v>264</v>
      </c>
      <c r="R83" s="6" t="s">
        <v>62</v>
      </c>
      <c r="S83" s="10" t="s">
        <v>322</v>
      </c>
    </row>
    <row r="84" spans="1:19">
      <c r="A84" s="13" t="s">
        <v>412</v>
      </c>
      <c r="B84" s="13" t="s">
        <v>413</v>
      </c>
      <c r="C84" s="13" t="s">
        <v>414</v>
      </c>
      <c r="D84" s="14" t="s">
        <v>179</v>
      </c>
      <c r="E84" s="6" t="s">
        <v>224</v>
      </c>
      <c r="F84" t="s">
        <v>415</v>
      </c>
      <c r="G84" s="6" t="s">
        <v>48</v>
      </c>
      <c r="H84" s="6" t="str">
        <f t="shared" si="1"/>
        <v>6 x 52</v>
      </c>
      <c r="I84" s="6" t="s">
        <v>73</v>
      </c>
      <c r="J84" s="6">
        <v>17.399999999999999</v>
      </c>
      <c r="K84" s="6">
        <v>6</v>
      </c>
      <c r="L84" s="6">
        <v>52</v>
      </c>
      <c r="M84" s="11" t="s">
        <v>95</v>
      </c>
      <c r="N84" s="16" t="s">
        <v>355</v>
      </c>
      <c r="O84" s="17">
        <v>2.1227800000000001</v>
      </c>
      <c r="P84" s="12">
        <v>5404021000400</v>
      </c>
      <c r="Q84" s="6" t="s">
        <v>255</v>
      </c>
      <c r="R84" s="6" t="s">
        <v>62</v>
      </c>
      <c r="S84" s="10" t="s">
        <v>322</v>
      </c>
    </row>
    <row r="85" spans="1:19">
      <c r="A85" s="13" t="s">
        <v>416</v>
      </c>
      <c r="B85" s="13" t="s">
        <v>413</v>
      </c>
      <c r="C85" s="13" t="s">
        <v>414</v>
      </c>
      <c r="D85" s="14" t="s">
        <v>179</v>
      </c>
      <c r="E85" s="6" t="s">
        <v>224</v>
      </c>
      <c r="F85" t="s">
        <v>415</v>
      </c>
      <c r="G85" s="6" t="s">
        <v>48</v>
      </c>
      <c r="H85" s="6" t="str">
        <f t="shared" si="1"/>
        <v>6 x 52</v>
      </c>
      <c r="I85" s="6" t="s">
        <v>73</v>
      </c>
      <c r="J85" s="6">
        <v>17.399999999999999</v>
      </c>
      <c r="K85" s="6">
        <v>6</v>
      </c>
      <c r="L85" s="6">
        <v>52</v>
      </c>
      <c r="M85" s="11" t="s">
        <v>95</v>
      </c>
      <c r="N85" s="16" t="s">
        <v>355</v>
      </c>
      <c r="O85" s="17">
        <v>2.1227800000000001</v>
      </c>
      <c r="P85" s="12">
        <v>5404021000400</v>
      </c>
      <c r="Q85" s="6" t="s">
        <v>255</v>
      </c>
      <c r="R85" s="6" t="s">
        <v>62</v>
      </c>
      <c r="S85" s="10" t="s">
        <v>322</v>
      </c>
    </row>
    <row r="86" spans="1:19">
      <c r="A86" s="13" t="s">
        <v>417</v>
      </c>
      <c r="B86" s="13" t="s">
        <v>418</v>
      </c>
      <c r="C86" s="13" t="s">
        <v>419</v>
      </c>
      <c r="D86" s="14" t="s">
        <v>179</v>
      </c>
      <c r="E86" s="6" t="s">
        <v>224</v>
      </c>
      <c r="F86" t="s">
        <v>254</v>
      </c>
      <c r="G86" s="6" t="s">
        <v>48</v>
      </c>
      <c r="H86" s="6" t="str">
        <f t="shared" si="1"/>
        <v>6 x 52</v>
      </c>
      <c r="I86" s="6" t="s">
        <v>73</v>
      </c>
      <c r="J86" s="6">
        <v>17.399999999999999</v>
      </c>
      <c r="K86" s="6">
        <v>6</v>
      </c>
      <c r="L86" s="6">
        <v>52</v>
      </c>
      <c r="M86" s="16" t="s">
        <v>60</v>
      </c>
      <c r="N86" s="16" t="s">
        <v>321</v>
      </c>
      <c r="O86" s="17">
        <v>2.41349428571429</v>
      </c>
      <c r="P86" s="12">
        <v>5404021000387</v>
      </c>
      <c r="Q86" s="6" t="s">
        <v>255</v>
      </c>
      <c r="R86" s="6" t="s">
        <v>62</v>
      </c>
      <c r="S86" s="10" t="s">
        <v>322</v>
      </c>
    </row>
    <row r="87" spans="1:19">
      <c r="A87" s="13" t="s">
        <v>420</v>
      </c>
      <c r="B87" s="13" t="s">
        <v>418</v>
      </c>
      <c r="C87" s="13" t="s">
        <v>419</v>
      </c>
      <c r="D87" s="14" t="s">
        <v>179</v>
      </c>
      <c r="E87" s="6" t="s">
        <v>224</v>
      </c>
      <c r="F87" t="s">
        <v>254</v>
      </c>
      <c r="G87" s="6" t="s">
        <v>48</v>
      </c>
      <c r="H87" s="6" t="str">
        <f t="shared" si="1"/>
        <v>6 x 52</v>
      </c>
      <c r="I87" s="6" t="s">
        <v>73</v>
      </c>
      <c r="J87" s="6">
        <v>17.399999999999999</v>
      </c>
      <c r="K87" s="6">
        <v>6</v>
      </c>
      <c r="L87" s="6">
        <v>52</v>
      </c>
      <c r="M87" s="16" t="s">
        <v>60</v>
      </c>
      <c r="N87" s="16" t="s">
        <v>321</v>
      </c>
      <c r="O87" s="17">
        <v>2.41349428571429</v>
      </c>
      <c r="P87" s="12">
        <v>5404021000387</v>
      </c>
      <c r="Q87" s="6" t="s">
        <v>255</v>
      </c>
      <c r="R87" s="6" t="s">
        <v>62</v>
      </c>
      <c r="S87" s="10" t="s">
        <v>322</v>
      </c>
    </row>
    <row r="88" spans="1:19">
      <c r="A88" s="13" t="s">
        <v>421</v>
      </c>
      <c r="B88" s="13" t="s">
        <v>422</v>
      </c>
      <c r="C88" s="13" t="s">
        <v>423</v>
      </c>
      <c r="D88" s="14" t="s">
        <v>179</v>
      </c>
      <c r="E88" s="6" t="s">
        <v>224</v>
      </c>
      <c r="F88" t="s">
        <v>424</v>
      </c>
      <c r="G88" s="6" t="s">
        <v>48</v>
      </c>
      <c r="H88" s="6" t="str">
        <f t="shared" si="1"/>
        <v>4.5 x 54</v>
      </c>
      <c r="I88" s="6" t="s">
        <v>73</v>
      </c>
      <c r="J88" s="6">
        <v>14.07</v>
      </c>
      <c r="K88" s="6">
        <v>4.5</v>
      </c>
      <c r="L88" s="6">
        <v>54</v>
      </c>
      <c r="M88" s="16" t="s">
        <v>60</v>
      </c>
      <c r="N88" s="16" t="s">
        <v>425</v>
      </c>
      <c r="O88" s="17">
        <v>2.36</v>
      </c>
      <c r="P88" s="12">
        <v>5404021000271</v>
      </c>
      <c r="Q88" s="6" t="s">
        <v>246</v>
      </c>
      <c r="R88" s="6" t="s">
        <v>62</v>
      </c>
      <c r="S88" s="10" t="s">
        <v>322</v>
      </c>
    </row>
    <row r="89" spans="1:19">
      <c r="A89" s="13" t="s">
        <v>426</v>
      </c>
      <c r="B89" s="13" t="s">
        <v>427</v>
      </c>
      <c r="C89" s="13" t="s">
        <v>428</v>
      </c>
      <c r="D89" s="14" t="s">
        <v>179</v>
      </c>
      <c r="E89" s="6" t="s">
        <v>224</v>
      </c>
      <c r="F89" t="s">
        <v>245</v>
      </c>
      <c r="G89" s="6" t="s">
        <v>48</v>
      </c>
      <c r="H89" s="6" t="str">
        <f t="shared" si="1"/>
        <v>4.5 x 54</v>
      </c>
      <c r="I89" s="6" t="s">
        <v>73</v>
      </c>
      <c r="J89" s="6">
        <v>14.07</v>
      </c>
      <c r="K89" s="6">
        <v>4.5</v>
      </c>
      <c r="L89" s="6">
        <v>54</v>
      </c>
      <c r="M89" s="16" t="s">
        <v>60</v>
      </c>
      <c r="N89" s="16" t="s">
        <v>321</v>
      </c>
      <c r="O89" s="17">
        <v>2.2000000000000002</v>
      </c>
      <c r="P89" s="12">
        <v>5404021000264</v>
      </c>
      <c r="Q89" s="6" t="s">
        <v>246</v>
      </c>
      <c r="R89" s="6" t="s">
        <v>62</v>
      </c>
      <c r="S89" s="10" t="s">
        <v>322</v>
      </c>
    </row>
    <row r="90" spans="1:19">
      <c r="A90" s="13" t="s">
        <v>429</v>
      </c>
      <c r="B90" s="13" t="s">
        <v>427</v>
      </c>
      <c r="C90" s="13" t="s">
        <v>428</v>
      </c>
      <c r="D90" s="14" t="s">
        <v>179</v>
      </c>
      <c r="E90" s="6" t="s">
        <v>224</v>
      </c>
      <c r="F90" t="s">
        <v>245</v>
      </c>
      <c r="G90" s="6" t="s">
        <v>48</v>
      </c>
      <c r="H90" s="6" t="str">
        <f t="shared" si="1"/>
        <v>4.5 x 54</v>
      </c>
      <c r="I90" s="6" t="s">
        <v>73</v>
      </c>
      <c r="J90" s="6">
        <v>14.07</v>
      </c>
      <c r="K90" s="6">
        <v>4.5</v>
      </c>
      <c r="L90" s="6">
        <v>54</v>
      </c>
      <c r="M90" s="16" t="s">
        <v>60</v>
      </c>
      <c r="N90" s="16" t="s">
        <v>321</v>
      </c>
      <c r="O90" s="17">
        <v>2.2000000000000002</v>
      </c>
      <c r="P90" s="12">
        <v>5404021000264</v>
      </c>
      <c r="Q90" s="6" t="s">
        <v>246</v>
      </c>
      <c r="R90" s="6" t="s">
        <v>62</v>
      </c>
      <c r="S90" s="10" t="s">
        <v>322</v>
      </c>
    </row>
    <row r="91" spans="1:19">
      <c r="A91" s="13" t="s">
        <v>430</v>
      </c>
      <c r="B91" s="13" t="s">
        <v>431</v>
      </c>
      <c r="C91" s="13" t="s">
        <v>432</v>
      </c>
      <c r="D91" s="14" t="s">
        <v>179</v>
      </c>
      <c r="E91" s="6" t="s">
        <v>224</v>
      </c>
      <c r="F91" t="s">
        <v>433</v>
      </c>
      <c r="G91" s="6" t="s">
        <v>48</v>
      </c>
      <c r="H91" s="6" t="str">
        <f t="shared" si="1"/>
        <v>5.5 x 58</v>
      </c>
      <c r="I91" s="6" t="s">
        <v>73</v>
      </c>
      <c r="J91" s="6">
        <v>19.84</v>
      </c>
      <c r="K91" s="6">
        <v>5.5</v>
      </c>
      <c r="L91" s="6">
        <v>58</v>
      </c>
      <c r="M91" s="16" t="s">
        <v>60</v>
      </c>
      <c r="N91" s="16" t="s">
        <v>425</v>
      </c>
      <c r="O91" s="17">
        <v>2.8439628571428601</v>
      </c>
      <c r="P91" s="12">
        <v>5404021000431</v>
      </c>
      <c r="Q91" s="6" t="s">
        <v>264</v>
      </c>
      <c r="R91" s="6" t="s">
        <v>62</v>
      </c>
      <c r="S91" s="10" t="s">
        <v>322</v>
      </c>
    </row>
    <row r="92" spans="1:19">
      <c r="A92" s="13" t="s">
        <v>434</v>
      </c>
      <c r="B92" s="13" t="s">
        <v>431</v>
      </c>
      <c r="C92" s="13" t="s">
        <v>432</v>
      </c>
      <c r="D92" s="14" t="s">
        <v>179</v>
      </c>
      <c r="E92" s="6" t="s">
        <v>224</v>
      </c>
      <c r="F92" t="s">
        <v>433</v>
      </c>
      <c r="G92" s="6" t="s">
        <v>48</v>
      </c>
      <c r="H92" s="6" t="str">
        <f t="shared" si="1"/>
        <v>5.5 x 58</v>
      </c>
      <c r="I92" s="6" t="s">
        <v>73</v>
      </c>
      <c r="J92" s="6">
        <v>19.84</v>
      </c>
      <c r="K92" s="6">
        <v>5.5</v>
      </c>
      <c r="L92" s="6">
        <v>58</v>
      </c>
      <c r="M92" s="16" t="s">
        <v>60</v>
      </c>
      <c r="N92" s="16" t="s">
        <v>425</v>
      </c>
      <c r="O92" s="17">
        <v>2.8439628571428601</v>
      </c>
      <c r="P92" s="12">
        <v>5404021000431</v>
      </c>
      <c r="Q92" s="6" t="s">
        <v>264</v>
      </c>
      <c r="R92" s="6" t="s">
        <v>62</v>
      </c>
      <c r="S92" s="10" t="s">
        <v>322</v>
      </c>
    </row>
    <row r="93" spans="1:19">
      <c r="A93" s="13" t="s">
        <v>435</v>
      </c>
      <c r="B93" s="13" t="s">
        <v>436</v>
      </c>
      <c r="C93" s="13" t="s">
        <v>437</v>
      </c>
      <c r="D93" s="14" t="s">
        <v>179</v>
      </c>
      <c r="E93" s="6" t="s">
        <v>224</v>
      </c>
      <c r="F93" t="s">
        <v>263</v>
      </c>
      <c r="G93" s="6" t="s">
        <v>48</v>
      </c>
      <c r="H93" s="6" t="str">
        <f t="shared" si="1"/>
        <v>5.5 x 58</v>
      </c>
      <c r="I93" s="6" t="s">
        <v>73</v>
      </c>
      <c r="J93" s="6">
        <v>19.84</v>
      </c>
      <c r="K93" s="6">
        <v>5.5</v>
      </c>
      <c r="L93" s="6">
        <v>58</v>
      </c>
      <c r="M93" s="16" t="s">
        <v>60</v>
      </c>
      <c r="N93" s="16" t="s">
        <v>321</v>
      </c>
      <c r="O93" s="17">
        <v>2.6787842857142898</v>
      </c>
      <c r="P93" s="12">
        <v>5404021000424</v>
      </c>
      <c r="Q93" s="6" t="s">
        <v>264</v>
      </c>
      <c r="R93" s="6" t="s">
        <v>62</v>
      </c>
      <c r="S93" s="10" t="s">
        <v>322</v>
      </c>
    </row>
    <row r="94" spans="1:19">
      <c r="A94" s="13" t="s">
        <v>438</v>
      </c>
      <c r="B94" s="13" t="s">
        <v>439</v>
      </c>
      <c r="C94" s="13" t="s">
        <v>440</v>
      </c>
      <c r="D94" s="14" t="s">
        <v>179</v>
      </c>
      <c r="E94" s="6" t="s">
        <v>272</v>
      </c>
      <c r="F94" t="s">
        <v>441</v>
      </c>
      <c r="G94" s="10" t="s">
        <v>48</v>
      </c>
      <c r="H94" s="6" t="str">
        <f t="shared" si="1"/>
        <v>7 x 54</v>
      </c>
      <c r="I94" s="10" t="s">
        <v>274</v>
      </c>
      <c r="J94" s="10">
        <v>20</v>
      </c>
      <c r="K94" s="10">
        <v>7</v>
      </c>
      <c r="L94" s="10">
        <v>54</v>
      </c>
      <c r="M94" s="16" t="s">
        <v>60</v>
      </c>
      <c r="N94" s="16" t="s">
        <v>360</v>
      </c>
      <c r="O94" s="17">
        <v>3.52278</v>
      </c>
      <c r="P94" s="12">
        <v>5404021000790</v>
      </c>
      <c r="Q94" s="6" t="s">
        <v>280</v>
      </c>
      <c r="R94" s="6" t="s">
        <v>62</v>
      </c>
      <c r="S94" s="10" t="s">
        <v>322</v>
      </c>
    </row>
    <row r="95" spans="1:19">
      <c r="A95" s="13" t="s">
        <v>442</v>
      </c>
      <c r="B95" s="13" t="s">
        <v>443</v>
      </c>
      <c r="C95" s="13" t="s">
        <v>444</v>
      </c>
      <c r="D95" s="14" t="s">
        <v>179</v>
      </c>
      <c r="E95" s="6" t="s">
        <v>272</v>
      </c>
      <c r="F95" t="s">
        <v>273</v>
      </c>
      <c r="G95" s="6" t="s">
        <v>240</v>
      </c>
      <c r="H95" s="6" t="str">
        <f t="shared" si="1"/>
        <v>9.2 x 55</v>
      </c>
      <c r="I95" s="6" t="s">
        <v>274</v>
      </c>
      <c r="J95" s="6">
        <v>23.89</v>
      </c>
      <c r="K95" s="6">
        <v>9.1999999999999993</v>
      </c>
      <c r="L95" s="6">
        <v>55</v>
      </c>
      <c r="M95" s="16" t="s">
        <v>60</v>
      </c>
      <c r="N95" s="16" t="s">
        <v>355</v>
      </c>
      <c r="O95" s="17">
        <v>6.7249800000000004</v>
      </c>
      <c r="P95" s="12">
        <v>5404021000882</v>
      </c>
      <c r="Q95" s="6" t="s">
        <v>275</v>
      </c>
      <c r="R95" s="6" t="s">
        <v>62</v>
      </c>
      <c r="S95" s="10" t="s">
        <v>322</v>
      </c>
    </row>
    <row r="96" spans="1:19">
      <c r="A96" s="13" t="s">
        <v>445</v>
      </c>
      <c r="B96" s="13" t="s">
        <v>446</v>
      </c>
      <c r="C96" s="13" t="s">
        <v>447</v>
      </c>
      <c r="D96" s="14" t="s">
        <v>179</v>
      </c>
      <c r="E96" s="6" t="s">
        <v>224</v>
      </c>
      <c r="F96" t="s">
        <v>239</v>
      </c>
      <c r="G96" s="10" t="s">
        <v>240</v>
      </c>
      <c r="H96" s="6" t="str">
        <f t="shared" si="1"/>
        <v>5 x 54</v>
      </c>
      <c r="I96" s="10" t="s">
        <v>73</v>
      </c>
      <c r="J96" s="10">
        <v>12.9</v>
      </c>
      <c r="K96" s="10">
        <v>5</v>
      </c>
      <c r="L96" s="10">
        <v>54</v>
      </c>
      <c r="M96" s="16" t="s">
        <v>60</v>
      </c>
      <c r="N96" s="16" t="s">
        <v>321</v>
      </c>
      <c r="O96" s="17">
        <v>2.68</v>
      </c>
      <c r="P96" s="12">
        <v>5404021000301</v>
      </c>
      <c r="Q96" s="6" t="s">
        <v>241</v>
      </c>
      <c r="R96" s="6" t="s">
        <v>62</v>
      </c>
      <c r="S96" s="10" t="s">
        <v>322</v>
      </c>
    </row>
    <row r="97" spans="1:19">
      <c r="A97" s="13" t="s">
        <v>445</v>
      </c>
      <c r="B97" s="13" t="s">
        <v>446</v>
      </c>
      <c r="C97" s="13" t="s">
        <v>447</v>
      </c>
      <c r="D97" s="14" t="s">
        <v>179</v>
      </c>
      <c r="E97" s="6" t="s">
        <v>224</v>
      </c>
      <c r="F97" t="s">
        <v>239</v>
      </c>
      <c r="G97" s="10" t="s">
        <v>240</v>
      </c>
      <c r="H97" s="6" t="str">
        <f t="shared" si="1"/>
        <v>5 x 54</v>
      </c>
      <c r="I97" s="10" t="s">
        <v>73</v>
      </c>
      <c r="J97" s="10">
        <v>12.9</v>
      </c>
      <c r="K97" s="10">
        <v>5</v>
      </c>
      <c r="L97" s="10">
        <v>54</v>
      </c>
      <c r="M97" s="16" t="s">
        <v>60</v>
      </c>
      <c r="N97" s="16" t="s">
        <v>321</v>
      </c>
      <c r="O97" s="17">
        <v>2.68</v>
      </c>
      <c r="P97" s="12">
        <v>5404021000301</v>
      </c>
      <c r="Q97" s="6" t="s">
        <v>241</v>
      </c>
      <c r="R97" s="6" t="s">
        <v>62</v>
      </c>
      <c r="S97" s="10" t="s">
        <v>322</v>
      </c>
    </row>
    <row r="98" spans="1:19">
      <c r="A98" s="13" t="s">
        <v>445</v>
      </c>
      <c r="B98" s="13" t="s">
        <v>446</v>
      </c>
      <c r="C98" s="13" t="s">
        <v>447</v>
      </c>
      <c r="D98" s="14" t="s">
        <v>179</v>
      </c>
      <c r="E98" s="6" t="s">
        <v>224</v>
      </c>
      <c r="F98" t="s">
        <v>239</v>
      </c>
      <c r="G98" s="10" t="s">
        <v>240</v>
      </c>
      <c r="H98" s="6" t="str">
        <f t="shared" si="1"/>
        <v>5 x 54</v>
      </c>
      <c r="I98" s="10" t="s">
        <v>73</v>
      </c>
      <c r="J98" s="10">
        <v>12.9</v>
      </c>
      <c r="K98" s="10">
        <v>5</v>
      </c>
      <c r="L98" s="10">
        <v>54</v>
      </c>
      <c r="M98" s="16" t="s">
        <v>60</v>
      </c>
      <c r="N98" s="16" t="s">
        <v>321</v>
      </c>
      <c r="O98" s="17">
        <v>2.68</v>
      </c>
      <c r="P98" s="12">
        <v>5404021000301</v>
      </c>
      <c r="Q98" s="6" t="s">
        <v>241</v>
      </c>
      <c r="R98" s="6" t="s">
        <v>62</v>
      </c>
      <c r="S98" s="10" t="s">
        <v>322</v>
      </c>
    </row>
    <row r="99" spans="1:19">
      <c r="A99" s="13" t="s">
        <v>448</v>
      </c>
      <c r="B99" s="13" t="s">
        <v>449</v>
      </c>
      <c r="C99" s="13" t="s">
        <v>450</v>
      </c>
      <c r="D99" s="14" t="s">
        <v>179</v>
      </c>
      <c r="E99" s="6" t="s">
        <v>224</v>
      </c>
      <c r="F99" t="s">
        <v>451</v>
      </c>
      <c r="G99" s="10" t="s">
        <v>240</v>
      </c>
      <c r="H99" s="6" t="str">
        <f t="shared" si="1"/>
        <v>5 x 54</v>
      </c>
      <c r="I99" s="10" t="s">
        <v>73</v>
      </c>
      <c r="J99" s="10">
        <v>12.9</v>
      </c>
      <c r="K99" s="10">
        <v>5</v>
      </c>
      <c r="L99" s="10">
        <v>54</v>
      </c>
      <c r="M99" s="16" t="s">
        <v>60</v>
      </c>
      <c r="N99" s="16" t="s">
        <v>360</v>
      </c>
      <c r="O99" s="17">
        <v>2.39</v>
      </c>
      <c r="P99" s="12">
        <v>5404021000332</v>
      </c>
      <c r="Q99" s="6" t="s">
        <v>241</v>
      </c>
      <c r="R99" s="6" t="s">
        <v>62</v>
      </c>
      <c r="S99" s="10" t="s">
        <v>322</v>
      </c>
    </row>
    <row r="100" spans="1:19">
      <c r="A100" s="13" t="s">
        <v>452</v>
      </c>
      <c r="B100" s="13" t="s">
        <v>453</v>
      </c>
      <c r="C100" s="13" t="s">
        <v>454</v>
      </c>
      <c r="D100" s="14" t="s">
        <v>179</v>
      </c>
      <c r="E100" s="6" t="s">
        <v>224</v>
      </c>
      <c r="F100" t="s">
        <v>455</v>
      </c>
      <c r="G100" s="10" t="s">
        <v>240</v>
      </c>
      <c r="H100" s="6" t="str">
        <f t="shared" si="1"/>
        <v>5 x 54</v>
      </c>
      <c r="I100" s="10" t="s">
        <v>73</v>
      </c>
      <c r="J100" s="10">
        <v>12.9</v>
      </c>
      <c r="K100" s="10">
        <v>5</v>
      </c>
      <c r="L100" s="10">
        <v>54</v>
      </c>
      <c r="M100" s="16" t="s">
        <v>60</v>
      </c>
      <c r="N100" s="16" t="s">
        <v>425</v>
      </c>
      <c r="O100" s="17">
        <v>2.84</v>
      </c>
      <c r="P100" s="12">
        <v>5404021000318</v>
      </c>
      <c r="Q100" s="6" t="s">
        <v>241</v>
      </c>
      <c r="R100" s="6" t="s">
        <v>62</v>
      </c>
      <c r="S100" s="10" t="s">
        <v>322</v>
      </c>
    </row>
    <row r="101" spans="1:19">
      <c r="A101" s="13" t="s">
        <v>456</v>
      </c>
      <c r="B101" s="13" t="s">
        <v>457</v>
      </c>
      <c r="C101" s="13" t="s">
        <v>458</v>
      </c>
      <c r="D101" s="14" t="s">
        <v>179</v>
      </c>
      <c r="E101" s="6" t="s">
        <v>224</v>
      </c>
      <c r="F101" t="s">
        <v>459</v>
      </c>
      <c r="G101" s="6" t="s">
        <v>48</v>
      </c>
      <c r="H101" s="6" t="str">
        <f t="shared" si="1"/>
        <v>4.5 x 54</v>
      </c>
      <c r="I101" s="6" t="s">
        <v>73</v>
      </c>
      <c r="J101" s="6">
        <v>14.07</v>
      </c>
      <c r="K101" s="6">
        <v>4.5</v>
      </c>
      <c r="L101" s="6">
        <v>54</v>
      </c>
      <c r="M101" s="11" t="s">
        <v>95</v>
      </c>
      <c r="N101" s="16" t="s">
        <v>355</v>
      </c>
      <c r="O101" s="17">
        <v>1.91</v>
      </c>
      <c r="P101" s="12">
        <v>5404021000288</v>
      </c>
      <c r="Q101" s="6" t="s">
        <v>246</v>
      </c>
      <c r="R101" s="6" t="s">
        <v>62</v>
      </c>
      <c r="S101" s="10" t="s">
        <v>322</v>
      </c>
    </row>
    <row r="102" spans="1:19">
      <c r="A102" s="13" t="s">
        <v>460</v>
      </c>
      <c r="B102" s="13" t="s">
        <v>461</v>
      </c>
      <c r="C102" s="13" t="s">
        <v>462</v>
      </c>
      <c r="D102" s="14" t="s">
        <v>179</v>
      </c>
      <c r="E102" s="6" t="s">
        <v>224</v>
      </c>
      <c r="F102" t="s">
        <v>234</v>
      </c>
      <c r="G102" s="6" t="s">
        <v>48</v>
      </c>
      <c r="H102" s="6" t="str">
        <f t="shared" si="1"/>
        <v>5.5 x 48</v>
      </c>
      <c r="I102" s="6" t="s">
        <v>73</v>
      </c>
      <c r="J102" s="6">
        <v>13.59</v>
      </c>
      <c r="K102" s="6">
        <v>5.5</v>
      </c>
      <c r="L102" s="6">
        <v>48</v>
      </c>
      <c r="M102" s="16" t="s">
        <v>60</v>
      </c>
      <c r="N102" s="16" t="s">
        <v>321</v>
      </c>
      <c r="O102" s="17">
        <v>2.14</v>
      </c>
      <c r="P102" s="12">
        <v>5404021000226</v>
      </c>
      <c r="Q102" s="6" t="s">
        <v>235</v>
      </c>
      <c r="R102" s="6" t="s">
        <v>62</v>
      </c>
      <c r="S102" s="10" t="s">
        <v>322</v>
      </c>
    </row>
    <row r="103" spans="1:19">
      <c r="A103" s="13" t="s">
        <v>460</v>
      </c>
      <c r="B103" s="13" t="s">
        <v>461</v>
      </c>
      <c r="C103" s="13" t="s">
        <v>462</v>
      </c>
      <c r="D103" s="14" t="s">
        <v>179</v>
      </c>
      <c r="E103" s="6" t="s">
        <v>224</v>
      </c>
      <c r="F103" t="s">
        <v>234</v>
      </c>
      <c r="G103" s="6" t="s">
        <v>48</v>
      </c>
      <c r="H103" s="6" t="str">
        <f t="shared" si="1"/>
        <v>5.5 x 48</v>
      </c>
      <c r="I103" s="6" t="s">
        <v>73</v>
      </c>
      <c r="J103" s="6">
        <v>13.59</v>
      </c>
      <c r="K103" s="6">
        <v>5.5</v>
      </c>
      <c r="L103" s="6">
        <v>48</v>
      </c>
      <c r="M103" s="16" t="s">
        <v>60</v>
      </c>
      <c r="N103" s="16" t="s">
        <v>321</v>
      </c>
      <c r="O103" s="17">
        <v>2.14</v>
      </c>
      <c r="P103" s="12">
        <v>5404021000226</v>
      </c>
      <c r="Q103" s="6" t="s">
        <v>235</v>
      </c>
      <c r="R103" s="6" t="s">
        <v>62</v>
      </c>
      <c r="S103" s="10" t="s">
        <v>322</v>
      </c>
    </row>
    <row r="104" spans="1:19">
      <c r="A104" s="13" t="s">
        <v>463</v>
      </c>
      <c r="B104" s="13" t="s">
        <v>461</v>
      </c>
      <c r="C104" s="13" t="s">
        <v>462</v>
      </c>
      <c r="D104" s="14" t="s">
        <v>179</v>
      </c>
      <c r="E104" s="6" t="s">
        <v>224</v>
      </c>
      <c r="F104" t="s">
        <v>234</v>
      </c>
      <c r="G104" s="6" t="s">
        <v>48</v>
      </c>
      <c r="H104" s="6" t="str">
        <f t="shared" si="1"/>
        <v>5.5 x 48</v>
      </c>
      <c r="I104" s="6" t="s">
        <v>73</v>
      </c>
      <c r="J104" s="6">
        <v>13.59</v>
      </c>
      <c r="K104" s="6">
        <v>5.5</v>
      </c>
      <c r="L104" s="6">
        <v>48</v>
      </c>
      <c r="M104" s="16" t="s">
        <v>60</v>
      </c>
      <c r="N104" s="16" t="s">
        <v>321</v>
      </c>
      <c r="O104" s="17">
        <v>2.14</v>
      </c>
      <c r="P104" s="12">
        <v>5404021000226</v>
      </c>
      <c r="Q104" s="6" t="s">
        <v>235</v>
      </c>
      <c r="R104" s="6" t="s">
        <v>62</v>
      </c>
      <c r="S104" s="10" t="s">
        <v>322</v>
      </c>
    </row>
    <row r="105" spans="1:19">
      <c r="A105" s="13" t="s">
        <v>464</v>
      </c>
      <c r="B105" s="13" t="s">
        <v>465</v>
      </c>
      <c r="C105" s="13" t="s">
        <v>466</v>
      </c>
      <c r="D105" s="14" t="s">
        <v>179</v>
      </c>
      <c r="E105" s="6" t="s">
        <v>224</v>
      </c>
      <c r="F105" t="s">
        <v>467</v>
      </c>
      <c r="G105" s="6" t="s">
        <v>48</v>
      </c>
      <c r="H105" s="6" t="str">
        <f t="shared" si="1"/>
        <v>5.5 x 48</v>
      </c>
      <c r="I105" s="6" t="s">
        <v>73</v>
      </c>
      <c r="J105" s="6">
        <v>13.59</v>
      </c>
      <c r="K105" s="6">
        <v>5.5</v>
      </c>
      <c r="L105" s="6">
        <v>48</v>
      </c>
      <c r="M105" s="16" t="s">
        <v>60</v>
      </c>
      <c r="N105" s="16" t="s">
        <v>425</v>
      </c>
      <c r="O105" s="17">
        <v>2.2999999999999998</v>
      </c>
      <c r="P105" s="12">
        <v>5404021000233</v>
      </c>
      <c r="Q105" s="6" t="s">
        <v>235</v>
      </c>
      <c r="R105" s="6" t="s">
        <v>62</v>
      </c>
      <c r="S105" s="10" t="s">
        <v>322</v>
      </c>
    </row>
    <row r="106" spans="1:19">
      <c r="A106" s="13" t="s">
        <v>468</v>
      </c>
      <c r="B106" s="13" t="s">
        <v>469</v>
      </c>
      <c r="C106" s="13" t="s">
        <v>470</v>
      </c>
      <c r="D106" s="14" t="s">
        <v>179</v>
      </c>
      <c r="E106" s="6" t="s">
        <v>224</v>
      </c>
      <c r="F106" t="s">
        <v>471</v>
      </c>
      <c r="G106" s="6" t="s">
        <v>48</v>
      </c>
      <c r="H106" s="6" t="str">
        <f t="shared" si="1"/>
        <v>5.5 x 48</v>
      </c>
      <c r="I106" s="6" t="s">
        <v>73</v>
      </c>
      <c r="J106" s="6">
        <v>13.59</v>
      </c>
      <c r="K106" s="6">
        <v>5.5</v>
      </c>
      <c r="L106" s="6">
        <v>48</v>
      </c>
      <c r="M106" s="11" t="s">
        <v>95</v>
      </c>
      <c r="N106" s="16" t="s">
        <v>355</v>
      </c>
      <c r="O106" s="17">
        <v>1.85</v>
      </c>
      <c r="P106" s="12">
        <v>5404021000240</v>
      </c>
      <c r="Q106" s="6" t="s">
        <v>235</v>
      </c>
      <c r="R106" s="6" t="s">
        <v>62</v>
      </c>
      <c r="S106" s="10" t="s">
        <v>322</v>
      </c>
    </row>
    <row r="107" spans="1:19">
      <c r="A107" s="13" t="s">
        <v>472</v>
      </c>
      <c r="B107" s="13" t="s">
        <v>469</v>
      </c>
      <c r="C107" s="13" t="s">
        <v>470</v>
      </c>
      <c r="D107" s="14" t="s">
        <v>179</v>
      </c>
      <c r="E107" s="6" t="s">
        <v>224</v>
      </c>
      <c r="F107" t="s">
        <v>471</v>
      </c>
      <c r="G107" s="6" t="s">
        <v>48</v>
      </c>
      <c r="H107" s="6" t="str">
        <f t="shared" si="1"/>
        <v>5.5 x 48</v>
      </c>
      <c r="I107" s="6" t="s">
        <v>73</v>
      </c>
      <c r="J107" s="6">
        <v>13.59</v>
      </c>
      <c r="K107" s="6">
        <v>5.5</v>
      </c>
      <c r="L107" s="6">
        <v>48</v>
      </c>
      <c r="M107" s="11" t="s">
        <v>95</v>
      </c>
      <c r="N107" s="16" t="s">
        <v>355</v>
      </c>
      <c r="O107" s="17">
        <v>1.85</v>
      </c>
      <c r="P107" s="12">
        <v>5404021000240</v>
      </c>
      <c r="Q107" s="6" t="s">
        <v>235</v>
      </c>
      <c r="R107" s="6" t="s">
        <v>62</v>
      </c>
      <c r="S107" s="10" t="s">
        <v>322</v>
      </c>
    </row>
    <row r="108" spans="1:19">
      <c r="A108" s="13" t="s">
        <v>473</v>
      </c>
      <c r="B108" s="13" t="s">
        <v>469</v>
      </c>
      <c r="C108" s="13" t="s">
        <v>470</v>
      </c>
      <c r="D108" s="14" t="s">
        <v>179</v>
      </c>
      <c r="E108" s="6" t="s">
        <v>224</v>
      </c>
      <c r="F108" t="s">
        <v>471</v>
      </c>
      <c r="G108" s="6" t="s">
        <v>48</v>
      </c>
      <c r="H108" s="6" t="str">
        <f t="shared" si="1"/>
        <v>5.5 x 48</v>
      </c>
      <c r="I108" s="6" t="s">
        <v>73</v>
      </c>
      <c r="J108" s="6">
        <v>13.59</v>
      </c>
      <c r="K108" s="6">
        <v>5.5</v>
      </c>
      <c r="L108" s="6">
        <v>48</v>
      </c>
      <c r="M108" s="11" t="s">
        <v>95</v>
      </c>
      <c r="N108" s="16" t="s">
        <v>355</v>
      </c>
      <c r="O108" s="17">
        <v>1.85</v>
      </c>
      <c r="P108" s="12">
        <v>5404021000240</v>
      </c>
      <c r="Q108" s="6" t="s">
        <v>235</v>
      </c>
      <c r="R108" s="6" t="s">
        <v>62</v>
      </c>
      <c r="S108" s="10" t="s">
        <v>322</v>
      </c>
    </row>
    <row r="109" spans="1:19">
      <c r="A109" s="13" t="s">
        <v>474</v>
      </c>
      <c r="B109" s="13" t="s">
        <v>475</v>
      </c>
      <c r="C109" s="13" t="s">
        <v>476</v>
      </c>
      <c r="D109" s="14" t="s">
        <v>179</v>
      </c>
      <c r="E109" s="6" t="s">
        <v>224</v>
      </c>
      <c r="F109" t="s">
        <v>477</v>
      </c>
      <c r="G109" s="6" t="s">
        <v>48</v>
      </c>
      <c r="H109" s="6" t="str">
        <f t="shared" si="1"/>
        <v>5 x 56</v>
      </c>
      <c r="I109" s="6" t="s">
        <v>73</v>
      </c>
      <c r="J109" s="6">
        <v>16.809999999999999</v>
      </c>
      <c r="K109" s="6">
        <v>5</v>
      </c>
      <c r="L109" s="6">
        <v>56</v>
      </c>
      <c r="M109" s="16" t="s">
        <v>60</v>
      </c>
      <c r="N109" s="16" t="s">
        <v>425</v>
      </c>
      <c r="O109" s="17">
        <v>2.54</v>
      </c>
      <c r="P109" s="12">
        <v>5404021000356</v>
      </c>
      <c r="Q109" s="6" t="s">
        <v>226</v>
      </c>
      <c r="R109" s="6" t="s">
        <v>62</v>
      </c>
      <c r="S109" s="10" t="s">
        <v>322</v>
      </c>
    </row>
    <row r="110" spans="1:19">
      <c r="A110" s="13" t="s">
        <v>478</v>
      </c>
      <c r="B110" s="13" t="s">
        <v>479</v>
      </c>
      <c r="C110" s="13" t="s">
        <v>480</v>
      </c>
      <c r="D110" s="14" t="s">
        <v>179</v>
      </c>
      <c r="E110" s="6" t="s">
        <v>224</v>
      </c>
      <c r="F110" t="s">
        <v>225</v>
      </c>
      <c r="G110" s="6" t="s">
        <v>48</v>
      </c>
      <c r="H110" s="6" t="str">
        <f t="shared" si="1"/>
        <v>5 x 56</v>
      </c>
      <c r="I110" s="6" t="s">
        <v>73</v>
      </c>
      <c r="J110" s="6">
        <v>16.809999999999999</v>
      </c>
      <c r="K110" s="6">
        <v>5</v>
      </c>
      <c r="L110" s="6">
        <v>56</v>
      </c>
      <c r="M110" s="16" t="s">
        <v>60</v>
      </c>
      <c r="N110" s="16" t="s">
        <v>321</v>
      </c>
      <c r="O110" s="17">
        <v>2.38</v>
      </c>
      <c r="P110" s="12">
        <v>5404021000349</v>
      </c>
      <c r="Q110" s="6" t="s">
        <v>226</v>
      </c>
      <c r="R110" s="6" t="s">
        <v>62</v>
      </c>
      <c r="S110" s="10" t="s">
        <v>322</v>
      </c>
    </row>
    <row r="111" spans="1:19">
      <c r="A111" s="13" t="s">
        <v>481</v>
      </c>
      <c r="B111" s="13" t="s">
        <v>482</v>
      </c>
      <c r="C111" s="13" t="s">
        <v>483</v>
      </c>
      <c r="D111" s="6" t="s">
        <v>138</v>
      </c>
      <c r="E111" s="6" t="s">
        <v>46</v>
      </c>
      <c r="F111" t="s">
        <v>152</v>
      </c>
      <c r="G111" s="6" t="s">
        <v>48</v>
      </c>
      <c r="H111" s="6" t="str">
        <f t="shared" si="1"/>
        <v>5 x 52</v>
      </c>
      <c r="I111" s="6" t="s">
        <v>73</v>
      </c>
      <c r="J111" s="6">
        <v>14.29</v>
      </c>
      <c r="K111" s="6">
        <v>5</v>
      </c>
      <c r="L111" s="6">
        <v>52</v>
      </c>
      <c r="M111" s="16" t="s">
        <v>60</v>
      </c>
      <c r="N111" s="16" t="s">
        <v>484</v>
      </c>
      <c r="O111" s="17">
        <v>2.6754500000000001</v>
      </c>
      <c r="P111" s="12">
        <v>5404021001407</v>
      </c>
      <c r="Q111" s="6" t="s">
        <v>153</v>
      </c>
      <c r="R111" s="6" t="s">
        <v>62</v>
      </c>
      <c r="S111" s="10" t="s">
        <v>322</v>
      </c>
    </row>
    <row r="112" spans="1:19">
      <c r="A112" s="13" t="s">
        <v>485</v>
      </c>
      <c r="B112" s="13" t="s">
        <v>486</v>
      </c>
      <c r="C112" s="13" t="s">
        <v>487</v>
      </c>
      <c r="D112" s="10" t="s">
        <v>87</v>
      </c>
      <c r="E112" s="10" t="s">
        <v>71</v>
      </c>
      <c r="F112" t="s">
        <v>488</v>
      </c>
      <c r="G112" s="10" t="s">
        <v>48</v>
      </c>
      <c r="H112" s="6" t="str">
        <f t="shared" si="1"/>
        <v>4.875 x 48</v>
      </c>
      <c r="I112" s="10" t="s">
        <v>115</v>
      </c>
      <c r="J112" s="10">
        <v>12.35</v>
      </c>
      <c r="K112" s="10">
        <v>4.875</v>
      </c>
      <c r="L112" s="10">
        <v>48</v>
      </c>
      <c r="M112" s="11" t="s">
        <v>95</v>
      </c>
      <c r="N112" s="16" t="s">
        <v>378</v>
      </c>
      <c r="O112" s="17">
        <v>3.3240599999999998</v>
      </c>
      <c r="P112" s="12">
        <v>5404021007690</v>
      </c>
      <c r="Q112" s="6" t="s">
        <v>116</v>
      </c>
      <c r="R112" s="6" t="s">
        <v>62</v>
      </c>
      <c r="S112" s="10" t="s">
        <v>322</v>
      </c>
    </row>
    <row r="113" spans="1:19">
      <c r="A113" s="13" t="s">
        <v>489</v>
      </c>
      <c r="B113" s="13" t="s">
        <v>490</v>
      </c>
      <c r="C113" s="13" t="s">
        <v>491</v>
      </c>
      <c r="D113" s="10" t="s">
        <v>87</v>
      </c>
      <c r="E113" s="10" t="s">
        <v>71</v>
      </c>
      <c r="F113" t="s">
        <v>492</v>
      </c>
      <c r="G113" s="10" t="s">
        <v>48</v>
      </c>
      <c r="H113" s="6" t="str">
        <f t="shared" si="1"/>
        <v>4.875 x 48</v>
      </c>
      <c r="I113" s="10" t="s">
        <v>115</v>
      </c>
      <c r="J113" s="10">
        <v>12.35</v>
      </c>
      <c r="K113" s="10">
        <v>4.875</v>
      </c>
      <c r="L113" s="10">
        <v>48</v>
      </c>
      <c r="M113" s="16" t="s">
        <v>60</v>
      </c>
      <c r="N113" s="16" t="s">
        <v>321</v>
      </c>
      <c r="O113" s="17">
        <v>3.6147742857142902</v>
      </c>
      <c r="P113" s="12">
        <v>5404021007683</v>
      </c>
      <c r="Q113" s="6" t="s">
        <v>116</v>
      </c>
      <c r="R113" s="6" t="s">
        <v>62</v>
      </c>
      <c r="S113" s="10" t="s">
        <v>322</v>
      </c>
    </row>
    <row r="114" spans="1:19">
      <c r="A114" s="13" t="s">
        <v>493</v>
      </c>
      <c r="B114" s="13" t="s">
        <v>494</v>
      </c>
      <c r="C114" s="13" t="s">
        <v>495</v>
      </c>
      <c r="D114" s="14" t="s">
        <v>179</v>
      </c>
      <c r="E114" s="6" t="s">
        <v>180</v>
      </c>
      <c r="F114" t="s">
        <v>496</v>
      </c>
      <c r="G114" s="6" t="s">
        <v>48</v>
      </c>
      <c r="H114" s="6" t="str">
        <f t="shared" si="1"/>
        <v>5 x 52</v>
      </c>
      <c r="I114" s="6" t="s">
        <v>73</v>
      </c>
      <c r="J114" s="6">
        <v>14.29</v>
      </c>
      <c r="K114" s="6">
        <v>5</v>
      </c>
      <c r="L114" s="6">
        <v>52</v>
      </c>
      <c r="M114" s="11" t="s">
        <v>95</v>
      </c>
      <c r="N114" s="16" t="s">
        <v>355</v>
      </c>
      <c r="O114" s="17">
        <v>2.0299999999999998</v>
      </c>
      <c r="P114" s="12">
        <v>5404021000158</v>
      </c>
      <c r="Q114" s="6" t="s">
        <v>216</v>
      </c>
      <c r="R114" s="6" t="s">
        <v>62</v>
      </c>
      <c r="S114" s="10" t="s">
        <v>322</v>
      </c>
    </row>
    <row r="115" spans="1:19">
      <c r="A115" s="13" t="s">
        <v>497</v>
      </c>
      <c r="B115" s="13" t="s">
        <v>498</v>
      </c>
      <c r="C115" s="13" t="s">
        <v>499</v>
      </c>
      <c r="D115" s="14" t="s">
        <v>179</v>
      </c>
      <c r="E115" s="14" t="s">
        <v>180</v>
      </c>
      <c r="F115" s="10" t="s">
        <v>210</v>
      </c>
      <c r="G115" s="10" t="s">
        <v>191</v>
      </c>
      <c r="H115" s="6" t="str">
        <f t="shared" si="1"/>
        <v>6 x 52</v>
      </c>
      <c r="I115" s="10" t="s">
        <v>73</v>
      </c>
      <c r="J115" s="10">
        <v>14.9</v>
      </c>
      <c r="K115" s="10">
        <v>6</v>
      </c>
      <c r="L115" s="10">
        <v>52</v>
      </c>
      <c r="M115" s="11" t="s">
        <v>95</v>
      </c>
      <c r="N115" s="16" t="s">
        <v>355</v>
      </c>
      <c r="O115" s="17">
        <v>2.16</v>
      </c>
      <c r="P115" s="12">
        <v>5404021000189</v>
      </c>
      <c r="Q115" s="6" t="s">
        <v>211</v>
      </c>
      <c r="R115" s="6" t="s">
        <v>62</v>
      </c>
      <c r="S115" s="10" t="s">
        <v>322</v>
      </c>
    </row>
    <row r="116" spans="1:19">
      <c r="A116" s="13" t="s">
        <v>500</v>
      </c>
      <c r="B116" s="13" t="s">
        <v>501</v>
      </c>
      <c r="C116" s="13" t="s">
        <v>502</v>
      </c>
      <c r="D116" s="6" t="s">
        <v>138</v>
      </c>
      <c r="E116" s="6" t="s">
        <v>46</v>
      </c>
      <c r="F116" t="s">
        <v>165</v>
      </c>
      <c r="G116" s="6" t="s">
        <v>48</v>
      </c>
      <c r="H116" s="6" t="str">
        <f t="shared" si="1"/>
        <v>6 x 52</v>
      </c>
      <c r="I116" s="6" t="s">
        <v>73</v>
      </c>
      <c r="J116" s="6">
        <v>17.329999999999998</v>
      </c>
      <c r="K116" s="6">
        <v>6</v>
      </c>
      <c r="L116" s="6">
        <v>52</v>
      </c>
      <c r="M116" s="16" t="s">
        <v>60</v>
      </c>
      <c r="N116" s="16" t="s">
        <v>484</v>
      </c>
      <c r="O116" s="17">
        <v>2.7678500000000001</v>
      </c>
      <c r="P116" s="12">
        <v>5404021001438</v>
      </c>
      <c r="Q116" s="6" t="s">
        <v>166</v>
      </c>
      <c r="R116" s="6" t="s">
        <v>62</v>
      </c>
      <c r="S116" s="10" t="s">
        <v>322</v>
      </c>
    </row>
    <row r="117" spans="1:19">
      <c r="A117" s="13" t="s">
        <v>503</v>
      </c>
      <c r="B117" s="13" t="s">
        <v>504</v>
      </c>
      <c r="C117" s="13" t="s">
        <v>505</v>
      </c>
      <c r="D117" s="6" t="s">
        <v>138</v>
      </c>
      <c r="E117" s="6" t="s">
        <v>46</v>
      </c>
      <c r="F117" t="s">
        <v>139</v>
      </c>
      <c r="G117" s="6" t="s">
        <v>48</v>
      </c>
      <c r="H117" s="6" t="str">
        <f t="shared" si="1"/>
        <v>4 x 52</v>
      </c>
      <c r="I117" s="6" t="s">
        <v>73</v>
      </c>
      <c r="J117" s="6">
        <v>11.56</v>
      </c>
      <c r="K117" s="6">
        <v>4</v>
      </c>
      <c r="L117" s="6">
        <v>52</v>
      </c>
      <c r="M117" s="16" t="s">
        <v>60</v>
      </c>
      <c r="N117" s="16" t="s">
        <v>484</v>
      </c>
      <c r="O117" s="17">
        <v>2.5258500000000002</v>
      </c>
      <c r="P117" s="12">
        <v>5404021001377</v>
      </c>
      <c r="Q117" s="6" t="s">
        <v>140</v>
      </c>
      <c r="R117" s="6" t="s">
        <v>62</v>
      </c>
      <c r="S117" s="10" t="s">
        <v>322</v>
      </c>
    </row>
    <row r="118" spans="1:19">
      <c r="A118" s="13" t="s">
        <v>506</v>
      </c>
      <c r="B118" s="13" t="s">
        <v>507</v>
      </c>
      <c r="C118" s="13" t="s">
        <v>508</v>
      </c>
      <c r="D118" s="6" t="s">
        <v>138</v>
      </c>
      <c r="E118" s="6" t="s">
        <v>46</v>
      </c>
      <c r="F118" t="s">
        <v>152</v>
      </c>
      <c r="G118" s="6" t="s">
        <v>48</v>
      </c>
      <c r="H118" s="6" t="str">
        <f t="shared" si="1"/>
        <v>5 x 52</v>
      </c>
      <c r="I118" s="6" t="s">
        <v>73</v>
      </c>
      <c r="J118" s="6">
        <v>14.29</v>
      </c>
      <c r="K118" s="6">
        <v>5</v>
      </c>
      <c r="L118" s="6">
        <v>52</v>
      </c>
      <c r="M118" s="16" t="s">
        <v>60</v>
      </c>
      <c r="N118" s="16" t="s">
        <v>484</v>
      </c>
      <c r="O118" s="17">
        <v>2.3317000000000001</v>
      </c>
      <c r="P118" s="12">
        <v>5404021001414</v>
      </c>
      <c r="Q118" s="6" t="s">
        <v>153</v>
      </c>
      <c r="R118" s="6" t="s">
        <v>62</v>
      </c>
      <c r="S118" s="10" t="s">
        <v>322</v>
      </c>
    </row>
    <row r="119" spans="1:19">
      <c r="A119" s="13" t="s">
        <v>509</v>
      </c>
      <c r="B119" s="13" t="s">
        <v>510</v>
      </c>
      <c r="C119" s="13" t="s">
        <v>511</v>
      </c>
      <c r="D119" s="6" t="s">
        <v>138</v>
      </c>
      <c r="E119" s="6" t="s">
        <v>46</v>
      </c>
      <c r="F119" t="s">
        <v>139</v>
      </c>
      <c r="G119" s="6" t="s">
        <v>48</v>
      </c>
      <c r="H119" s="6" t="str">
        <f t="shared" si="1"/>
        <v>4 x 52</v>
      </c>
      <c r="I119" s="6" t="s">
        <v>73</v>
      </c>
      <c r="J119" s="6">
        <v>11.56</v>
      </c>
      <c r="K119" s="6">
        <v>4</v>
      </c>
      <c r="L119" s="6">
        <v>52</v>
      </c>
      <c r="M119" s="16" t="s">
        <v>60</v>
      </c>
      <c r="N119" s="16" t="s">
        <v>484</v>
      </c>
      <c r="O119" s="17">
        <v>2.1821000000000002</v>
      </c>
      <c r="P119" s="12">
        <v>5404021001384</v>
      </c>
      <c r="Q119" s="6" t="s">
        <v>140</v>
      </c>
      <c r="R119" s="6" t="s">
        <v>62</v>
      </c>
      <c r="S119" s="10" t="s">
        <v>322</v>
      </c>
    </row>
    <row r="120" spans="1:19">
      <c r="A120" s="13" t="s">
        <v>512</v>
      </c>
      <c r="B120" s="13" t="s">
        <v>513</v>
      </c>
      <c r="C120" s="13" t="s">
        <v>514</v>
      </c>
      <c r="D120" s="10" t="s">
        <v>87</v>
      </c>
      <c r="E120" s="10" t="s">
        <v>71</v>
      </c>
      <c r="F120" t="s">
        <v>515</v>
      </c>
      <c r="G120" s="15" t="s">
        <v>48</v>
      </c>
      <c r="H120" s="6" t="str">
        <f t="shared" si="1"/>
        <v xml:space="preserve"> x </v>
      </c>
      <c r="M120" s="16" t="s">
        <v>60</v>
      </c>
      <c r="N120" s="16" t="s">
        <v>360</v>
      </c>
      <c r="O120" s="17">
        <v>3.64818</v>
      </c>
      <c r="P120" s="12">
        <v>5404021007768</v>
      </c>
      <c r="Q120" s="6" t="s">
        <v>516</v>
      </c>
      <c r="R120" s="6" t="s">
        <v>62</v>
      </c>
      <c r="S120" s="10" t="s">
        <v>322</v>
      </c>
    </row>
    <row r="121" spans="1:19">
      <c r="A121" s="13" t="s">
        <v>517</v>
      </c>
      <c r="B121" s="13" t="s">
        <v>518</v>
      </c>
      <c r="C121" s="13" t="s">
        <v>519</v>
      </c>
      <c r="D121" s="10" t="s">
        <v>87</v>
      </c>
      <c r="E121" s="10" t="s">
        <v>71</v>
      </c>
      <c r="F121" t="s">
        <v>520</v>
      </c>
      <c r="G121" s="6" t="s">
        <v>48</v>
      </c>
      <c r="H121" s="6" t="str">
        <f t="shared" si="1"/>
        <v>6.5 x 56</v>
      </c>
      <c r="I121" s="6" t="s">
        <v>115</v>
      </c>
      <c r="J121" s="6">
        <v>21.86</v>
      </c>
      <c r="K121" s="6">
        <v>6.5</v>
      </c>
      <c r="L121" s="6">
        <v>56</v>
      </c>
      <c r="M121" s="16" t="s">
        <v>60</v>
      </c>
      <c r="N121" s="16" t="s">
        <v>321</v>
      </c>
      <c r="O121" s="17">
        <v>3.6092242857142902</v>
      </c>
      <c r="P121" s="12">
        <v>5404021001896</v>
      </c>
      <c r="Q121" s="6" t="s">
        <v>121</v>
      </c>
      <c r="R121" s="6" t="s">
        <v>62</v>
      </c>
      <c r="S121" s="10" t="s">
        <v>322</v>
      </c>
    </row>
    <row r="122" spans="1:19">
      <c r="A122" s="13" t="s">
        <v>521</v>
      </c>
      <c r="B122" s="13" t="s">
        <v>522</v>
      </c>
      <c r="C122" s="13" t="s">
        <v>523</v>
      </c>
      <c r="D122" s="14" t="s">
        <v>179</v>
      </c>
      <c r="E122" s="14" t="s">
        <v>180</v>
      </c>
      <c r="F122" t="s">
        <v>215</v>
      </c>
      <c r="G122" s="6" t="s">
        <v>48</v>
      </c>
      <c r="H122" s="6" t="str">
        <f t="shared" si="1"/>
        <v>5 x 52</v>
      </c>
      <c r="I122" s="6" t="s">
        <v>73</v>
      </c>
      <c r="J122" s="6">
        <v>14.29</v>
      </c>
      <c r="K122" s="6">
        <v>5</v>
      </c>
      <c r="L122" s="6">
        <v>52</v>
      </c>
      <c r="M122" s="16" t="s">
        <v>60</v>
      </c>
      <c r="N122" s="16" t="s">
        <v>355</v>
      </c>
      <c r="O122" s="17">
        <v>2.3199999999999998</v>
      </c>
      <c r="P122" s="12">
        <v>5404021000134</v>
      </c>
      <c r="Q122" s="6" t="s">
        <v>216</v>
      </c>
      <c r="R122" s="6" t="s">
        <v>62</v>
      </c>
      <c r="S122" s="10" t="s">
        <v>322</v>
      </c>
    </row>
    <row r="123" spans="1:19">
      <c r="A123" s="13" t="s">
        <v>524</v>
      </c>
      <c r="B123" s="13" t="s">
        <v>525</v>
      </c>
      <c r="C123" s="13" t="s">
        <v>526</v>
      </c>
      <c r="D123" s="14" t="s">
        <v>179</v>
      </c>
      <c r="E123" s="14" t="s">
        <v>180</v>
      </c>
      <c r="F123" t="s">
        <v>190</v>
      </c>
      <c r="G123" s="10" t="s">
        <v>191</v>
      </c>
      <c r="H123" s="6" t="str">
        <f t="shared" si="1"/>
        <v>4.5 x 46</v>
      </c>
      <c r="I123" s="10" t="s">
        <v>73</v>
      </c>
      <c r="J123" s="10">
        <v>8.39</v>
      </c>
      <c r="K123" s="10">
        <v>4.5</v>
      </c>
      <c r="L123" s="10">
        <v>46</v>
      </c>
      <c r="M123" s="16" t="s">
        <v>60</v>
      </c>
      <c r="N123" s="16" t="s">
        <v>355</v>
      </c>
      <c r="O123" s="17">
        <v>2.12</v>
      </c>
      <c r="P123" s="12">
        <v>5404021000042</v>
      </c>
      <c r="Q123" s="6" t="s">
        <v>192</v>
      </c>
      <c r="R123" s="6" t="s">
        <v>62</v>
      </c>
      <c r="S123" s="10" t="s">
        <v>322</v>
      </c>
    </row>
    <row r="124" spans="1:19">
      <c r="A124" s="13" t="s">
        <v>527</v>
      </c>
      <c r="B124" s="13" t="s">
        <v>528</v>
      </c>
      <c r="C124" s="13" t="s">
        <v>529</v>
      </c>
      <c r="D124" s="14" t="s">
        <v>179</v>
      </c>
      <c r="E124" s="14" t="s">
        <v>180</v>
      </c>
      <c r="F124" t="s">
        <v>530</v>
      </c>
      <c r="G124" s="6" t="s">
        <v>48</v>
      </c>
      <c r="H124" s="6" t="str">
        <f t="shared" si="1"/>
        <v>5 x 52</v>
      </c>
      <c r="I124" s="6" t="s">
        <v>73</v>
      </c>
      <c r="J124" s="6">
        <v>14.29</v>
      </c>
      <c r="K124" s="6">
        <v>5</v>
      </c>
      <c r="L124" s="6">
        <v>52</v>
      </c>
      <c r="M124" s="16" t="s">
        <v>60</v>
      </c>
      <c r="N124" s="16" t="s">
        <v>378</v>
      </c>
      <c r="O124" s="17">
        <v>2.66</v>
      </c>
      <c r="P124" s="12">
        <v>5404021000141</v>
      </c>
      <c r="Q124" s="6" t="s">
        <v>216</v>
      </c>
      <c r="R124" s="6" t="s">
        <v>62</v>
      </c>
      <c r="S124" s="10" t="s">
        <v>322</v>
      </c>
    </row>
    <row r="125" spans="1:19">
      <c r="A125" s="13" t="s">
        <v>531</v>
      </c>
      <c r="B125" s="13" t="s">
        <v>532</v>
      </c>
      <c r="C125" s="13" t="s">
        <v>533</v>
      </c>
      <c r="D125" s="14" t="s">
        <v>179</v>
      </c>
      <c r="E125" s="14" t="s">
        <v>180</v>
      </c>
      <c r="F125" t="s">
        <v>201</v>
      </c>
      <c r="G125" s="10" t="s">
        <v>48</v>
      </c>
      <c r="H125" s="6" t="str">
        <f t="shared" si="1"/>
        <v>5 x 42</v>
      </c>
      <c r="I125" s="10" t="s">
        <v>73</v>
      </c>
      <c r="J125" s="10">
        <v>9.18</v>
      </c>
      <c r="K125" s="10">
        <v>5</v>
      </c>
      <c r="L125" s="10">
        <v>42</v>
      </c>
      <c r="M125" s="16" t="s">
        <v>60</v>
      </c>
      <c r="N125" s="16" t="s">
        <v>355</v>
      </c>
      <c r="O125" s="17">
        <v>1.97</v>
      </c>
      <c r="P125" s="12">
        <v>5404021000011</v>
      </c>
      <c r="Q125" s="6" t="s">
        <v>202</v>
      </c>
      <c r="R125" s="6" t="s">
        <v>62</v>
      </c>
      <c r="S125" s="10" t="s">
        <v>322</v>
      </c>
    </row>
    <row r="126" spans="1:19">
      <c r="A126" s="13" t="s">
        <v>534</v>
      </c>
      <c r="B126" s="13" t="s">
        <v>535</v>
      </c>
      <c r="C126" s="13" t="s">
        <v>536</v>
      </c>
      <c r="D126" s="14" t="s">
        <v>179</v>
      </c>
      <c r="E126" s="14" t="s">
        <v>180</v>
      </c>
      <c r="F126" t="s">
        <v>537</v>
      </c>
      <c r="G126" s="6" t="s">
        <v>48</v>
      </c>
      <c r="H126" s="6" t="str">
        <f t="shared" si="1"/>
        <v>7 x 50</v>
      </c>
      <c r="I126" s="6" t="s">
        <v>73</v>
      </c>
      <c r="J126" s="6">
        <v>18.21</v>
      </c>
      <c r="K126" s="6">
        <v>7</v>
      </c>
      <c r="L126" s="6">
        <v>50</v>
      </c>
      <c r="M126" s="11" t="s">
        <v>95</v>
      </c>
      <c r="N126" s="16" t="s">
        <v>355</v>
      </c>
      <c r="O126" s="17">
        <v>2.4500000000000002</v>
      </c>
      <c r="P126" s="12">
        <v>5404021000219</v>
      </c>
      <c r="Q126" s="6" t="s">
        <v>197</v>
      </c>
      <c r="R126" s="6" t="s">
        <v>62</v>
      </c>
      <c r="S126" s="10" t="s">
        <v>322</v>
      </c>
    </row>
    <row r="127" spans="1:19">
      <c r="A127" s="13" t="s">
        <v>538</v>
      </c>
      <c r="B127" s="13" t="s">
        <v>539</v>
      </c>
      <c r="C127" s="13" t="s">
        <v>540</v>
      </c>
      <c r="D127" s="14" t="s">
        <v>179</v>
      </c>
      <c r="E127" s="14" t="s">
        <v>180</v>
      </c>
      <c r="F127" t="s">
        <v>181</v>
      </c>
      <c r="G127" s="6" t="s">
        <v>48</v>
      </c>
      <c r="H127" s="6" t="str">
        <f t="shared" si="1"/>
        <v>4.125 x 50</v>
      </c>
      <c r="I127" s="6" t="s">
        <v>73</v>
      </c>
      <c r="J127" s="6">
        <v>11.38</v>
      </c>
      <c r="K127" s="6">
        <v>4.125</v>
      </c>
      <c r="L127" s="6">
        <v>50</v>
      </c>
      <c r="M127" s="16" t="s">
        <v>60</v>
      </c>
      <c r="N127" s="16" t="s">
        <v>355</v>
      </c>
      <c r="O127" s="17">
        <v>2.12</v>
      </c>
      <c r="P127" s="12">
        <v>5404021000073</v>
      </c>
      <c r="Q127" s="6" t="s">
        <v>182</v>
      </c>
      <c r="R127" s="6" t="s">
        <v>62</v>
      </c>
      <c r="S127" s="10" t="s">
        <v>322</v>
      </c>
    </row>
    <row r="128" spans="1:19">
      <c r="A128" s="13" t="s">
        <v>541</v>
      </c>
      <c r="B128" s="13" t="s">
        <v>542</v>
      </c>
      <c r="C128" s="13" t="s">
        <v>543</v>
      </c>
      <c r="D128" s="14" t="s">
        <v>179</v>
      </c>
      <c r="E128" s="14" t="s">
        <v>180</v>
      </c>
      <c r="F128" t="s">
        <v>196</v>
      </c>
      <c r="G128" s="6" t="s">
        <v>48</v>
      </c>
      <c r="H128" s="6" t="str">
        <f t="shared" si="1"/>
        <v>7 x 50</v>
      </c>
      <c r="I128" s="6" t="s">
        <v>73</v>
      </c>
      <c r="J128" s="6">
        <v>18.21</v>
      </c>
      <c r="K128" s="6">
        <v>7</v>
      </c>
      <c r="L128" s="6">
        <v>50</v>
      </c>
      <c r="M128" s="16" t="s">
        <v>60</v>
      </c>
      <c r="N128" s="16" t="s">
        <v>355</v>
      </c>
      <c r="O128" s="17">
        <v>2.74</v>
      </c>
      <c r="P128" s="12">
        <v>5404021000196</v>
      </c>
      <c r="Q128" s="6" t="s">
        <v>197</v>
      </c>
      <c r="R128" s="6" t="s">
        <v>62</v>
      </c>
      <c r="S128" s="10" t="s">
        <v>322</v>
      </c>
    </row>
    <row r="129" spans="1:19">
      <c r="A129" s="13" t="s">
        <v>544</v>
      </c>
      <c r="B129" s="13" t="s">
        <v>545</v>
      </c>
      <c r="C129" s="13" t="s">
        <v>546</v>
      </c>
      <c r="D129" s="14" t="s">
        <v>179</v>
      </c>
      <c r="E129" s="14" t="s">
        <v>180</v>
      </c>
      <c r="F129" t="s">
        <v>206</v>
      </c>
      <c r="G129" s="10" t="s">
        <v>48</v>
      </c>
      <c r="H129" s="6" t="str">
        <f t="shared" si="1"/>
        <v>5 x 42</v>
      </c>
      <c r="I129" s="10" t="s">
        <v>73</v>
      </c>
      <c r="J129" s="10">
        <v>9.18</v>
      </c>
      <c r="K129" s="10">
        <v>5</v>
      </c>
      <c r="L129" s="10">
        <v>42</v>
      </c>
      <c r="M129" s="11" t="s">
        <v>95</v>
      </c>
      <c r="N129" s="16" t="s">
        <v>355</v>
      </c>
      <c r="O129" s="17">
        <v>1.68</v>
      </c>
      <c r="P129" s="12">
        <v>5404021000035</v>
      </c>
      <c r="Q129" s="6" t="s">
        <v>202</v>
      </c>
      <c r="R129" s="6" t="s">
        <v>62</v>
      </c>
      <c r="S129" s="10" t="s">
        <v>322</v>
      </c>
    </row>
    <row r="130" spans="1:19">
      <c r="A130" s="13" t="s">
        <v>547</v>
      </c>
      <c r="B130" s="13" t="s">
        <v>548</v>
      </c>
      <c r="C130" s="13" t="s">
        <v>549</v>
      </c>
      <c r="D130" s="14" t="s">
        <v>179</v>
      </c>
      <c r="E130" s="14" t="s">
        <v>180</v>
      </c>
      <c r="F130" t="s">
        <v>550</v>
      </c>
      <c r="G130" s="10" t="s">
        <v>191</v>
      </c>
      <c r="H130" s="6" t="str">
        <f t="shared" si="1"/>
        <v>4.5 x 46</v>
      </c>
      <c r="I130" s="10" t="s">
        <v>73</v>
      </c>
      <c r="J130" s="10">
        <v>8.39</v>
      </c>
      <c r="K130" s="10">
        <v>4.5</v>
      </c>
      <c r="L130" s="10">
        <v>46</v>
      </c>
      <c r="M130" s="11" t="s">
        <v>95</v>
      </c>
      <c r="N130" s="16" t="s">
        <v>355</v>
      </c>
      <c r="O130" s="17">
        <v>1.83</v>
      </c>
      <c r="P130" s="12">
        <v>5404021000066</v>
      </c>
      <c r="Q130" s="6" t="s">
        <v>192</v>
      </c>
      <c r="R130" s="6" t="s">
        <v>62</v>
      </c>
      <c r="S130" s="10" t="s">
        <v>322</v>
      </c>
    </row>
    <row r="131" spans="1:19">
      <c r="A131" s="13" t="s">
        <v>551</v>
      </c>
      <c r="B131" s="13" t="s">
        <v>552</v>
      </c>
      <c r="C131" s="13" t="s">
        <v>553</v>
      </c>
      <c r="D131" s="14" t="s">
        <v>179</v>
      </c>
      <c r="E131" s="14" t="s">
        <v>224</v>
      </c>
      <c r="F131" t="s">
        <v>554</v>
      </c>
      <c r="G131" s="6" t="s">
        <v>48</v>
      </c>
      <c r="H131" s="6" t="str">
        <f t="shared" si="1"/>
        <v>5 x 56</v>
      </c>
      <c r="I131" s="6" t="s">
        <v>73</v>
      </c>
      <c r="J131" s="6">
        <v>16.809999999999999</v>
      </c>
      <c r="K131" s="6">
        <v>5</v>
      </c>
      <c r="L131" s="6">
        <v>56</v>
      </c>
      <c r="M131" s="11" t="s">
        <v>95</v>
      </c>
      <c r="N131" s="16" t="s">
        <v>355</v>
      </c>
      <c r="O131" s="17">
        <v>1.83</v>
      </c>
      <c r="P131" s="12">
        <v>5404021000363</v>
      </c>
      <c r="Q131" s="6" t="s">
        <v>226</v>
      </c>
      <c r="R131" s="6" t="s">
        <v>62</v>
      </c>
      <c r="S131" s="10" t="s">
        <v>322</v>
      </c>
    </row>
    <row r="132" spans="1:19">
      <c r="A132" s="13" t="s">
        <v>555</v>
      </c>
      <c r="B132" s="13" t="s">
        <v>556</v>
      </c>
      <c r="C132" s="13" t="s">
        <v>557</v>
      </c>
      <c r="D132" s="10" t="s">
        <v>87</v>
      </c>
      <c r="E132" s="10" t="s">
        <v>71</v>
      </c>
      <c r="F132" t="s">
        <v>558</v>
      </c>
      <c r="G132" s="6" t="s">
        <v>48</v>
      </c>
      <c r="H132" s="6" t="str">
        <f t="shared" ref="H132:H163" si="2">K132&amp;" x "&amp;L132</f>
        <v>6.5 x 56</v>
      </c>
      <c r="I132" s="6" t="s">
        <v>115</v>
      </c>
      <c r="J132" s="6">
        <v>21.86</v>
      </c>
      <c r="K132" s="6">
        <v>6.5</v>
      </c>
      <c r="L132" s="6">
        <v>56</v>
      </c>
      <c r="M132" s="16" t="s">
        <v>60</v>
      </c>
      <c r="N132" s="16" t="s">
        <v>321</v>
      </c>
      <c r="O132" s="17">
        <v>3.8367742857142901</v>
      </c>
      <c r="P132" s="12">
        <v>5404021007706</v>
      </c>
      <c r="Q132" s="6" t="s">
        <v>121</v>
      </c>
      <c r="R132" s="6" t="s">
        <v>62</v>
      </c>
      <c r="S132" s="10" t="s">
        <v>322</v>
      </c>
    </row>
    <row r="133" spans="1:19">
      <c r="A133" s="13" t="s">
        <v>559</v>
      </c>
      <c r="B133" s="13" t="s">
        <v>560</v>
      </c>
      <c r="C133" s="13" t="s">
        <v>561</v>
      </c>
      <c r="D133" s="10" t="s">
        <v>87</v>
      </c>
      <c r="E133" s="10" t="s">
        <v>46</v>
      </c>
      <c r="F133" t="s">
        <v>125</v>
      </c>
      <c r="G133" s="10" t="s">
        <v>48</v>
      </c>
      <c r="H133" s="6" t="str">
        <f t="shared" si="2"/>
        <v>5 x 54</v>
      </c>
      <c r="I133" s="10" t="s">
        <v>89</v>
      </c>
      <c r="J133" s="10">
        <v>16.079999999999998</v>
      </c>
      <c r="K133" s="10">
        <v>5</v>
      </c>
      <c r="L133" s="10">
        <v>54</v>
      </c>
      <c r="M133" s="16" t="s">
        <v>60</v>
      </c>
      <c r="N133" s="16" t="s">
        <v>321</v>
      </c>
      <c r="O133" s="17">
        <v>2.9207171428571401</v>
      </c>
      <c r="P133" s="12">
        <v>5404021001254</v>
      </c>
      <c r="Q133" s="6" t="s">
        <v>126</v>
      </c>
      <c r="R133" s="6" t="s">
        <v>62</v>
      </c>
      <c r="S133" s="10" t="s">
        <v>322</v>
      </c>
    </row>
    <row r="134" spans="1:19">
      <c r="A134" s="13" t="s">
        <v>562</v>
      </c>
      <c r="B134" s="13" t="s">
        <v>560</v>
      </c>
      <c r="C134" s="13" t="s">
        <v>561</v>
      </c>
      <c r="D134" s="10" t="s">
        <v>87</v>
      </c>
      <c r="E134" s="10" t="s">
        <v>46</v>
      </c>
      <c r="F134" t="s">
        <v>125</v>
      </c>
      <c r="G134" s="10" t="s">
        <v>48</v>
      </c>
      <c r="H134" s="6" t="str">
        <f t="shared" si="2"/>
        <v>5 x 54</v>
      </c>
      <c r="I134" s="10" t="s">
        <v>89</v>
      </c>
      <c r="J134" s="10">
        <v>16.079999999999998</v>
      </c>
      <c r="K134" s="10">
        <v>5</v>
      </c>
      <c r="L134" s="10">
        <v>54</v>
      </c>
      <c r="M134" s="16" t="s">
        <v>60</v>
      </c>
      <c r="N134" s="16" t="s">
        <v>321</v>
      </c>
      <c r="O134" s="17">
        <v>2.9207171428571401</v>
      </c>
      <c r="P134" s="12">
        <v>5404021001254</v>
      </c>
      <c r="Q134" s="6" t="s">
        <v>126</v>
      </c>
      <c r="R134" s="6" t="s">
        <v>62</v>
      </c>
      <c r="S134" s="10" t="s">
        <v>322</v>
      </c>
    </row>
    <row r="135" spans="1:19">
      <c r="A135" s="13" t="s">
        <v>563</v>
      </c>
      <c r="B135" s="13" t="s">
        <v>564</v>
      </c>
      <c r="C135" s="13" t="s">
        <v>565</v>
      </c>
      <c r="D135" s="6" t="s">
        <v>57</v>
      </c>
      <c r="E135" s="6" t="s">
        <v>46</v>
      </c>
      <c r="F135" t="s">
        <v>566</v>
      </c>
      <c r="G135" s="15" t="s">
        <v>48</v>
      </c>
      <c r="H135" s="6" t="str">
        <f t="shared" si="2"/>
        <v xml:space="preserve"> x </v>
      </c>
      <c r="I135" s="6" t="s">
        <v>49</v>
      </c>
      <c r="M135" s="16" t="s">
        <v>50</v>
      </c>
      <c r="N135" s="16" t="s">
        <v>567</v>
      </c>
      <c r="O135" s="17">
        <v>3.22519050086356</v>
      </c>
      <c r="P135" s="12">
        <v>5404021001841</v>
      </c>
      <c r="Q135" s="6" t="s">
        <v>568</v>
      </c>
      <c r="R135" s="6" t="s">
        <v>62</v>
      </c>
      <c r="S135" s="10" t="s">
        <v>322</v>
      </c>
    </row>
    <row r="136" spans="1:19">
      <c r="A136" s="13" t="s">
        <v>569</v>
      </c>
      <c r="B136" s="13" t="s">
        <v>570</v>
      </c>
      <c r="C136" s="13" t="s">
        <v>571</v>
      </c>
      <c r="D136" s="10" t="s">
        <v>87</v>
      </c>
      <c r="E136" s="10" t="s">
        <v>46</v>
      </c>
      <c r="F136" t="s">
        <v>572</v>
      </c>
      <c r="G136" s="6" t="s">
        <v>48</v>
      </c>
      <c r="H136" s="6" t="str">
        <f t="shared" si="2"/>
        <v>6.5 x 52</v>
      </c>
      <c r="I136" s="6" t="s">
        <v>89</v>
      </c>
      <c r="J136" s="6">
        <v>18.27</v>
      </c>
      <c r="K136" s="6">
        <v>6.5</v>
      </c>
      <c r="L136" s="6">
        <v>52</v>
      </c>
      <c r="M136" s="16" t="s">
        <v>60</v>
      </c>
      <c r="N136" s="16" t="s">
        <v>425</v>
      </c>
      <c r="O136" s="17">
        <v>3.4098285714285699</v>
      </c>
      <c r="P136" s="12">
        <v>5404021001308</v>
      </c>
      <c r="Q136" s="6" t="s">
        <v>90</v>
      </c>
      <c r="R136" s="6" t="s">
        <v>62</v>
      </c>
      <c r="S136" s="10" t="s">
        <v>322</v>
      </c>
    </row>
    <row r="137" spans="1:19">
      <c r="A137" s="13" t="s">
        <v>573</v>
      </c>
      <c r="B137" s="13" t="s">
        <v>574</v>
      </c>
      <c r="C137" s="13" t="s">
        <v>575</v>
      </c>
      <c r="D137" s="10" t="s">
        <v>87</v>
      </c>
      <c r="E137" s="10" t="s">
        <v>46</v>
      </c>
      <c r="F137" t="s">
        <v>576</v>
      </c>
      <c r="G137" s="6" t="s">
        <v>48</v>
      </c>
      <c r="H137" s="6" t="str">
        <f t="shared" si="2"/>
        <v>6.5 x 52</v>
      </c>
      <c r="I137" s="6" t="s">
        <v>89</v>
      </c>
      <c r="J137" s="6">
        <v>18.27</v>
      </c>
      <c r="K137" s="6">
        <v>6.5</v>
      </c>
      <c r="L137" s="6">
        <v>52</v>
      </c>
      <c r="M137" s="16" t="s">
        <v>60</v>
      </c>
      <c r="N137" s="16" t="s">
        <v>360</v>
      </c>
      <c r="O137" s="17">
        <v>3.0212599999999998</v>
      </c>
      <c r="P137" s="12">
        <v>5404021001322</v>
      </c>
      <c r="Q137" s="6" t="s">
        <v>90</v>
      </c>
      <c r="R137" s="6" t="s">
        <v>62</v>
      </c>
      <c r="S137" s="10" t="s">
        <v>322</v>
      </c>
    </row>
    <row r="138" spans="1:19">
      <c r="A138" s="13" t="s">
        <v>573</v>
      </c>
      <c r="B138" s="13" t="s">
        <v>574</v>
      </c>
      <c r="C138" s="13" t="s">
        <v>575</v>
      </c>
      <c r="D138" s="10" t="s">
        <v>87</v>
      </c>
      <c r="E138" s="10" t="s">
        <v>46</v>
      </c>
      <c r="F138" t="s">
        <v>576</v>
      </c>
      <c r="G138" s="6" t="s">
        <v>48</v>
      </c>
      <c r="H138" s="6" t="str">
        <f t="shared" si="2"/>
        <v>6.5 x 52</v>
      </c>
      <c r="I138" s="6" t="s">
        <v>89</v>
      </c>
      <c r="J138" s="6">
        <v>18.27</v>
      </c>
      <c r="K138" s="6">
        <v>6.5</v>
      </c>
      <c r="L138" s="6">
        <v>52</v>
      </c>
      <c r="M138" s="16" t="s">
        <v>60</v>
      </c>
      <c r="N138" s="16" t="s">
        <v>360</v>
      </c>
      <c r="O138" s="17">
        <v>3.0212599999999998</v>
      </c>
      <c r="P138" s="12">
        <v>5404021001322</v>
      </c>
      <c r="Q138" s="6" t="s">
        <v>90</v>
      </c>
      <c r="R138" s="6" t="s">
        <v>62</v>
      </c>
      <c r="S138" s="10" t="s">
        <v>322</v>
      </c>
    </row>
    <row r="139" spans="1:19">
      <c r="A139" s="13" t="s">
        <v>577</v>
      </c>
      <c r="B139" s="13" t="s">
        <v>578</v>
      </c>
      <c r="C139" s="13" t="s">
        <v>579</v>
      </c>
      <c r="D139" s="6" t="s">
        <v>57</v>
      </c>
      <c r="E139" s="6" t="s">
        <v>46</v>
      </c>
      <c r="F139" t="s">
        <v>82</v>
      </c>
      <c r="G139" s="10" t="s">
        <v>48</v>
      </c>
      <c r="H139" s="6" t="str">
        <f t="shared" si="2"/>
        <v>6.5 x 58</v>
      </c>
      <c r="I139" s="10" t="s">
        <v>59</v>
      </c>
      <c r="J139" s="10">
        <v>22.6</v>
      </c>
      <c r="K139" s="10">
        <v>6.5</v>
      </c>
      <c r="L139" s="10">
        <v>58</v>
      </c>
      <c r="M139" s="16" t="s">
        <v>60</v>
      </c>
      <c r="N139" s="16" t="s">
        <v>378</v>
      </c>
      <c r="O139" s="17">
        <v>3.5268199999999998</v>
      </c>
      <c r="P139" s="12">
        <v>5404021001520</v>
      </c>
      <c r="Q139" s="6" t="s">
        <v>83</v>
      </c>
      <c r="R139" s="6" t="s">
        <v>62</v>
      </c>
      <c r="S139" s="10" t="s">
        <v>322</v>
      </c>
    </row>
    <row r="140" spans="1:19">
      <c r="A140" s="13" t="s">
        <v>580</v>
      </c>
      <c r="B140" s="13" t="s">
        <v>581</v>
      </c>
      <c r="C140" s="13" t="s">
        <v>582</v>
      </c>
      <c r="D140" s="6" t="s">
        <v>57</v>
      </c>
      <c r="E140" s="6" t="s">
        <v>46</v>
      </c>
      <c r="F140" t="s">
        <v>583</v>
      </c>
      <c r="G140" s="10" t="s">
        <v>48</v>
      </c>
      <c r="H140" s="6" t="str">
        <f t="shared" si="2"/>
        <v>6.5 x 58</v>
      </c>
      <c r="I140" s="10" t="s">
        <v>59</v>
      </c>
      <c r="J140" s="10">
        <v>22.6</v>
      </c>
      <c r="K140" s="10">
        <v>6.5</v>
      </c>
      <c r="L140" s="10">
        <v>58</v>
      </c>
      <c r="M140" s="16" t="s">
        <v>60</v>
      </c>
      <c r="N140" s="16" t="s">
        <v>360</v>
      </c>
      <c r="O140" s="17">
        <v>3.17258</v>
      </c>
      <c r="P140" s="12">
        <v>5404021001544</v>
      </c>
      <c r="Q140" s="6" t="s">
        <v>83</v>
      </c>
      <c r="R140" s="6" t="s">
        <v>62</v>
      </c>
      <c r="S140" s="10" t="s">
        <v>322</v>
      </c>
    </row>
    <row r="141" spans="1:19">
      <c r="A141" s="13" t="s">
        <v>580</v>
      </c>
      <c r="B141" s="13" t="s">
        <v>581</v>
      </c>
      <c r="C141" s="13" t="s">
        <v>582</v>
      </c>
      <c r="D141" s="6" t="s">
        <v>57</v>
      </c>
      <c r="E141" s="6" t="s">
        <v>46</v>
      </c>
      <c r="F141" t="s">
        <v>583</v>
      </c>
      <c r="G141" s="10" t="s">
        <v>48</v>
      </c>
      <c r="H141" s="6" t="str">
        <f t="shared" si="2"/>
        <v>6.5 x 58</v>
      </c>
      <c r="I141" s="10" t="s">
        <v>59</v>
      </c>
      <c r="J141" s="10">
        <v>22.6</v>
      </c>
      <c r="K141" s="10">
        <v>6.5</v>
      </c>
      <c r="L141" s="10">
        <v>58</v>
      </c>
      <c r="M141" s="16" t="s">
        <v>60</v>
      </c>
      <c r="N141" s="16" t="s">
        <v>360</v>
      </c>
      <c r="O141" s="17">
        <v>3.17258</v>
      </c>
      <c r="P141" s="12">
        <v>5404021001544</v>
      </c>
      <c r="Q141" s="6" t="s">
        <v>83</v>
      </c>
      <c r="R141" s="6" t="s">
        <v>62</v>
      </c>
      <c r="S141" s="10" t="s">
        <v>322</v>
      </c>
    </row>
    <row r="142" spans="1:19">
      <c r="A142" s="13" t="s">
        <v>584</v>
      </c>
      <c r="B142" s="13" t="s">
        <v>585</v>
      </c>
      <c r="C142" s="13" t="s">
        <v>586</v>
      </c>
      <c r="D142" s="6" t="s">
        <v>57</v>
      </c>
      <c r="E142" s="6" t="s">
        <v>46</v>
      </c>
      <c r="F142" t="s">
        <v>66</v>
      </c>
      <c r="G142" s="6" t="s">
        <v>48</v>
      </c>
      <c r="H142" s="6" t="str">
        <f t="shared" si="2"/>
        <v>5.5 x 54</v>
      </c>
      <c r="I142" s="6" t="s">
        <v>59</v>
      </c>
      <c r="J142" s="6">
        <v>16.579999999999998</v>
      </c>
      <c r="K142" s="6">
        <v>5.5</v>
      </c>
      <c r="L142" s="6">
        <v>54</v>
      </c>
      <c r="M142" s="16" t="s">
        <v>60</v>
      </c>
      <c r="N142" s="16" t="s">
        <v>378</v>
      </c>
      <c r="O142" s="17">
        <v>2.68</v>
      </c>
      <c r="P142" s="12">
        <v>5404021001490</v>
      </c>
      <c r="Q142" s="6" t="s">
        <v>67</v>
      </c>
      <c r="R142" s="6" t="s">
        <v>62</v>
      </c>
      <c r="S142" s="10" t="s">
        <v>322</v>
      </c>
    </row>
    <row r="143" spans="1:19">
      <c r="A143" s="13" t="s">
        <v>584</v>
      </c>
      <c r="B143" s="13" t="s">
        <v>585</v>
      </c>
      <c r="C143" s="13" t="s">
        <v>586</v>
      </c>
      <c r="D143" s="6" t="s">
        <v>57</v>
      </c>
      <c r="E143" s="6" t="s">
        <v>46</v>
      </c>
      <c r="F143" t="s">
        <v>66</v>
      </c>
      <c r="G143" s="6" t="s">
        <v>48</v>
      </c>
      <c r="H143" s="6" t="str">
        <f t="shared" si="2"/>
        <v>5.5 x 54</v>
      </c>
      <c r="I143" s="6" t="s">
        <v>59</v>
      </c>
      <c r="J143" s="6">
        <v>16.579999999999998</v>
      </c>
      <c r="K143" s="6">
        <v>5.5</v>
      </c>
      <c r="L143" s="6">
        <v>54</v>
      </c>
      <c r="M143" s="16" t="s">
        <v>60</v>
      </c>
      <c r="N143" s="16" t="s">
        <v>378</v>
      </c>
      <c r="O143" s="17">
        <v>2.68</v>
      </c>
      <c r="P143" s="12">
        <v>5404021001490</v>
      </c>
      <c r="Q143" s="6" t="s">
        <v>67</v>
      </c>
      <c r="R143" s="6" t="s">
        <v>62</v>
      </c>
      <c r="S143" s="10" t="s">
        <v>322</v>
      </c>
    </row>
    <row r="144" spans="1:19">
      <c r="A144" s="13" t="s">
        <v>587</v>
      </c>
      <c r="B144" s="13" t="s">
        <v>588</v>
      </c>
      <c r="C144" s="13" t="s">
        <v>589</v>
      </c>
      <c r="D144" s="6" t="s">
        <v>57</v>
      </c>
      <c r="E144" s="6" t="s">
        <v>46</v>
      </c>
      <c r="F144" t="s">
        <v>590</v>
      </c>
      <c r="G144" s="10" t="s">
        <v>48</v>
      </c>
      <c r="H144" s="6" t="str">
        <f t="shared" si="2"/>
        <v>4.5 x 56</v>
      </c>
      <c r="I144" s="10" t="s">
        <v>59</v>
      </c>
      <c r="J144" s="10">
        <v>15.36</v>
      </c>
      <c r="K144" s="10">
        <v>4.5</v>
      </c>
      <c r="L144" s="10">
        <v>56</v>
      </c>
      <c r="M144" s="16" t="s">
        <v>60</v>
      </c>
      <c r="N144" s="16" t="s">
        <v>360</v>
      </c>
      <c r="O144" s="17">
        <v>2.8885399999999999</v>
      </c>
      <c r="P144" s="12">
        <v>5404021001483</v>
      </c>
      <c r="Q144" s="6" t="s">
        <v>61</v>
      </c>
      <c r="R144" s="6" t="s">
        <v>62</v>
      </c>
      <c r="S144" s="10" t="s">
        <v>322</v>
      </c>
    </row>
    <row r="145" spans="1:19">
      <c r="A145" s="13" t="s">
        <v>591</v>
      </c>
      <c r="B145" s="13" t="s">
        <v>588</v>
      </c>
      <c r="C145" s="13" t="s">
        <v>589</v>
      </c>
      <c r="D145" s="6" t="s">
        <v>57</v>
      </c>
      <c r="E145" s="6" t="s">
        <v>46</v>
      </c>
      <c r="F145" t="s">
        <v>590</v>
      </c>
      <c r="G145" s="10" t="s">
        <v>48</v>
      </c>
      <c r="H145" s="6" t="str">
        <f t="shared" si="2"/>
        <v>4.5 x 56</v>
      </c>
      <c r="I145" s="10" t="s">
        <v>59</v>
      </c>
      <c r="J145" s="10">
        <v>15.36</v>
      </c>
      <c r="K145" s="10">
        <v>4.5</v>
      </c>
      <c r="L145" s="10">
        <v>56</v>
      </c>
      <c r="M145" s="16" t="s">
        <v>60</v>
      </c>
      <c r="N145" s="16" t="s">
        <v>360</v>
      </c>
      <c r="O145" s="17">
        <v>2.8885399999999999</v>
      </c>
      <c r="P145" s="12">
        <v>5404021001483</v>
      </c>
      <c r="Q145" s="6" t="s">
        <v>61</v>
      </c>
      <c r="R145" s="6" t="s">
        <v>62</v>
      </c>
      <c r="S145" s="10" t="s">
        <v>322</v>
      </c>
    </row>
    <row r="146" spans="1:19">
      <c r="A146" s="13" t="s">
        <v>592</v>
      </c>
      <c r="B146" s="13" t="s">
        <v>593</v>
      </c>
      <c r="C146" s="13" t="s">
        <v>594</v>
      </c>
      <c r="D146" s="6" t="s">
        <v>57</v>
      </c>
      <c r="E146" s="6" t="s">
        <v>46</v>
      </c>
      <c r="F146" t="s">
        <v>58</v>
      </c>
      <c r="G146" s="10" t="s">
        <v>48</v>
      </c>
      <c r="H146" s="6" t="str">
        <f t="shared" si="2"/>
        <v>4.5 x 56</v>
      </c>
      <c r="I146" s="10" t="s">
        <v>59</v>
      </c>
      <c r="J146" s="10">
        <v>15.36</v>
      </c>
      <c r="K146" s="10">
        <v>4.5</v>
      </c>
      <c r="L146" s="10">
        <v>56</v>
      </c>
      <c r="M146" s="16" t="s">
        <v>60</v>
      </c>
      <c r="N146" s="16" t="s">
        <v>378</v>
      </c>
      <c r="O146" s="17">
        <v>3.2427800000000002</v>
      </c>
      <c r="P146" s="12">
        <v>5404021001469</v>
      </c>
      <c r="Q146" s="6" t="s">
        <v>61</v>
      </c>
      <c r="R146" s="6" t="s">
        <v>62</v>
      </c>
      <c r="S146" s="10" t="s">
        <v>322</v>
      </c>
    </row>
    <row r="147" spans="1:19">
      <c r="A147" s="13" t="s">
        <v>595</v>
      </c>
      <c r="B147" s="13" t="s">
        <v>596</v>
      </c>
      <c r="C147" s="13" t="s">
        <v>597</v>
      </c>
      <c r="D147" s="6" t="s">
        <v>57</v>
      </c>
      <c r="E147" s="6" t="s">
        <v>46</v>
      </c>
      <c r="F147" t="s">
        <v>66</v>
      </c>
      <c r="G147" s="6" t="s">
        <v>48</v>
      </c>
      <c r="H147" s="6" t="str">
        <f t="shared" si="2"/>
        <v>5.5 x 54</v>
      </c>
      <c r="I147" s="6" t="s">
        <v>59</v>
      </c>
      <c r="J147" s="6">
        <v>16.579999999999998</v>
      </c>
      <c r="K147" s="6">
        <v>5.5</v>
      </c>
      <c r="L147" s="6">
        <v>54</v>
      </c>
      <c r="M147" s="16" t="s">
        <v>60</v>
      </c>
      <c r="N147" s="16" t="s">
        <v>378</v>
      </c>
      <c r="O147" s="17">
        <v>2.67578</v>
      </c>
      <c r="P147" s="12">
        <v>5404021002947</v>
      </c>
      <c r="Q147" s="6" t="s">
        <v>67</v>
      </c>
      <c r="R147" s="6" t="s">
        <v>62</v>
      </c>
      <c r="S147" s="10" t="s">
        <v>322</v>
      </c>
    </row>
    <row r="148" spans="1:19">
      <c r="A148" s="13" t="s">
        <v>598</v>
      </c>
      <c r="B148" s="13" t="s">
        <v>599</v>
      </c>
      <c r="C148" s="13" t="s">
        <v>600</v>
      </c>
      <c r="D148" s="6" t="s">
        <v>57</v>
      </c>
      <c r="E148" s="6" t="s">
        <v>46</v>
      </c>
      <c r="F148" t="s">
        <v>601</v>
      </c>
      <c r="G148" s="10" t="s">
        <v>48</v>
      </c>
      <c r="H148" s="6" t="str">
        <f t="shared" si="2"/>
        <v>4.5 x 56</v>
      </c>
      <c r="I148" s="10" t="s">
        <v>59</v>
      </c>
      <c r="J148" s="10">
        <v>15.36</v>
      </c>
      <c r="K148" s="10">
        <v>4.5</v>
      </c>
      <c r="L148" s="10">
        <v>56</v>
      </c>
      <c r="M148" s="11" t="s">
        <v>95</v>
      </c>
      <c r="N148" s="16" t="s">
        <v>378</v>
      </c>
      <c r="O148" s="17">
        <v>2.51918</v>
      </c>
      <c r="P148" s="12">
        <v>5404021002930</v>
      </c>
      <c r="Q148" s="6" t="s">
        <v>61</v>
      </c>
      <c r="R148" s="6" t="s">
        <v>62</v>
      </c>
      <c r="S148" s="10" t="s">
        <v>322</v>
      </c>
    </row>
    <row r="149" spans="1:19">
      <c r="A149" s="13" t="s">
        <v>517</v>
      </c>
      <c r="B149" s="13" t="s">
        <v>518</v>
      </c>
      <c r="C149" s="13" t="s">
        <v>519</v>
      </c>
      <c r="D149" s="10" t="s">
        <v>87</v>
      </c>
      <c r="E149" s="10" t="s">
        <v>71</v>
      </c>
      <c r="F149" t="s">
        <v>520</v>
      </c>
      <c r="G149" s="6" t="s">
        <v>48</v>
      </c>
      <c r="H149" s="6" t="str">
        <f t="shared" si="2"/>
        <v>6.5 x 56</v>
      </c>
      <c r="I149" s="6" t="s">
        <v>115</v>
      </c>
      <c r="J149" s="6">
        <v>21.86</v>
      </c>
      <c r="K149" s="6">
        <v>6.5</v>
      </c>
      <c r="L149" s="6">
        <v>56</v>
      </c>
      <c r="M149" s="16" t="s">
        <v>60</v>
      </c>
      <c r="N149" s="16" t="s">
        <v>321</v>
      </c>
      <c r="O149" s="17">
        <v>3.6092242857142902</v>
      </c>
      <c r="P149" s="12">
        <v>5404021001896</v>
      </c>
      <c r="Q149" s="6" t="s">
        <v>121</v>
      </c>
      <c r="R149" s="6" t="s">
        <v>62</v>
      </c>
      <c r="S149" s="10" t="s">
        <v>322</v>
      </c>
    </row>
    <row r="150" spans="1:19">
      <c r="A150" s="13" t="s">
        <v>602</v>
      </c>
      <c r="B150" s="13" t="s">
        <v>603</v>
      </c>
      <c r="C150" s="13" t="s">
        <v>604</v>
      </c>
      <c r="D150" s="10" t="s">
        <v>87</v>
      </c>
      <c r="E150" s="10" t="s">
        <v>71</v>
      </c>
      <c r="F150" t="s">
        <v>605</v>
      </c>
      <c r="G150" s="10" t="s">
        <v>48</v>
      </c>
      <c r="H150" s="6" t="str">
        <f t="shared" si="2"/>
        <v>4.875 x 48</v>
      </c>
      <c r="I150" s="10" t="s">
        <v>115</v>
      </c>
      <c r="J150" s="10">
        <v>12.35</v>
      </c>
      <c r="K150" s="10">
        <v>4.875</v>
      </c>
      <c r="L150" s="10">
        <v>48</v>
      </c>
      <c r="M150" s="16" t="s">
        <v>60</v>
      </c>
      <c r="N150" s="16" t="s">
        <v>321</v>
      </c>
      <c r="O150" s="17">
        <v>3.3761242857142899</v>
      </c>
      <c r="P150" s="12">
        <v>5404021001872</v>
      </c>
      <c r="Q150" s="6" t="s">
        <v>116</v>
      </c>
      <c r="R150" s="6" t="s">
        <v>62</v>
      </c>
      <c r="S150" s="10" t="s">
        <v>322</v>
      </c>
    </row>
    <row r="151" spans="1:19">
      <c r="A151" s="13" t="s">
        <v>606</v>
      </c>
      <c r="B151" s="13" t="s">
        <v>607</v>
      </c>
      <c r="C151" s="13" t="s">
        <v>608</v>
      </c>
      <c r="D151" s="10" t="s">
        <v>87</v>
      </c>
      <c r="E151" s="10" t="s">
        <v>46</v>
      </c>
      <c r="F151" t="s">
        <v>609</v>
      </c>
      <c r="G151" s="6" t="s">
        <v>48</v>
      </c>
      <c r="H151" s="6" t="str">
        <f t="shared" si="2"/>
        <v>4 x 44</v>
      </c>
      <c r="I151" s="6" t="s">
        <v>89</v>
      </c>
      <c r="J151" s="6">
        <v>8.69</v>
      </c>
      <c r="K151" s="6">
        <v>4</v>
      </c>
      <c r="L151" s="6">
        <v>44</v>
      </c>
      <c r="M151" s="11" t="s">
        <v>95</v>
      </c>
      <c r="N151" s="16" t="s">
        <v>355</v>
      </c>
      <c r="O151" s="17">
        <v>3.32</v>
      </c>
      <c r="P151" s="12">
        <v>5404021001230</v>
      </c>
      <c r="Q151" s="6" t="s">
        <v>100</v>
      </c>
      <c r="R151" s="6" t="s">
        <v>62</v>
      </c>
      <c r="S151" s="10" t="s">
        <v>322</v>
      </c>
    </row>
    <row r="152" spans="1:19">
      <c r="A152" s="13" t="s">
        <v>610</v>
      </c>
      <c r="B152" s="13" t="s">
        <v>611</v>
      </c>
      <c r="C152" s="13" t="s">
        <v>612</v>
      </c>
      <c r="D152" s="10" t="s">
        <v>87</v>
      </c>
      <c r="E152" s="10" t="s">
        <v>46</v>
      </c>
      <c r="F152" t="s">
        <v>613</v>
      </c>
      <c r="G152" s="10" t="s">
        <v>48</v>
      </c>
      <c r="H152" s="6" t="str">
        <f t="shared" si="2"/>
        <v>5 x 54</v>
      </c>
      <c r="I152" s="10" t="s">
        <v>89</v>
      </c>
      <c r="J152" s="10">
        <v>16.079999999999998</v>
      </c>
      <c r="K152" s="10">
        <v>5</v>
      </c>
      <c r="L152" s="10">
        <v>54</v>
      </c>
      <c r="M152" s="16" t="s">
        <v>60</v>
      </c>
      <c r="N152" s="16" t="s">
        <v>360</v>
      </c>
      <c r="O152" s="17">
        <v>2.7372200000000002</v>
      </c>
      <c r="P152" s="12">
        <v>5404021001285</v>
      </c>
      <c r="Q152" s="6" t="s">
        <v>126</v>
      </c>
      <c r="R152" s="6" t="s">
        <v>62</v>
      </c>
      <c r="S152" s="10" t="s">
        <v>322</v>
      </c>
    </row>
    <row r="153" spans="1:19">
      <c r="A153" s="13" t="s">
        <v>610</v>
      </c>
      <c r="B153" s="13" t="s">
        <v>611</v>
      </c>
      <c r="C153" s="13" t="s">
        <v>612</v>
      </c>
      <c r="D153" s="10" t="s">
        <v>87</v>
      </c>
      <c r="E153" s="10" t="s">
        <v>46</v>
      </c>
      <c r="F153" t="s">
        <v>613</v>
      </c>
      <c r="G153" s="10" t="s">
        <v>48</v>
      </c>
      <c r="H153" s="6" t="str">
        <f t="shared" si="2"/>
        <v>5 x 54</v>
      </c>
      <c r="I153" s="10" t="s">
        <v>89</v>
      </c>
      <c r="J153" s="10">
        <v>16.079999999999998</v>
      </c>
      <c r="K153" s="10">
        <v>5</v>
      </c>
      <c r="L153" s="10">
        <v>54</v>
      </c>
      <c r="M153" s="16" t="s">
        <v>60</v>
      </c>
      <c r="N153" s="16" t="s">
        <v>360</v>
      </c>
      <c r="O153" s="17">
        <v>2.7372200000000002</v>
      </c>
      <c r="P153" s="12">
        <v>5404021001285</v>
      </c>
      <c r="Q153" s="6" t="s">
        <v>126</v>
      </c>
      <c r="R153" s="6" t="s">
        <v>62</v>
      </c>
      <c r="S153" s="10" t="s">
        <v>322</v>
      </c>
    </row>
    <row r="154" spans="1:19">
      <c r="A154" s="13" t="s">
        <v>614</v>
      </c>
      <c r="B154" s="13" t="s">
        <v>615</v>
      </c>
      <c r="C154" s="13" t="s">
        <v>616</v>
      </c>
      <c r="D154" s="10" t="s">
        <v>87</v>
      </c>
      <c r="E154" s="10" t="s">
        <v>46</v>
      </c>
      <c r="F154" t="s">
        <v>99</v>
      </c>
      <c r="G154" s="6" t="s">
        <v>48</v>
      </c>
      <c r="H154" s="6" t="str">
        <f t="shared" si="2"/>
        <v>4 x 44</v>
      </c>
      <c r="I154" s="6" t="s">
        <v>89</v>
      </c>
      <c r="J154" s="6">
        <v>8.69</v>
      </c>
      <c r="K154" s="6">
        <v>4</v>
      </c>
      <c r="L154" s="6">
        <v>44</v>
      </c>
      <c r="M154" s="16" t="s">
        <v>60</v>
      </c>
      <c r="N154" s="16" t="s">
        <v>321</v>
      </c>
      <c r="O154" s="17">
        <v>2.6150771428571402</v>
      </c>
      <c r="P154" s="12">
        <v>5404021001216</v>
      </c>
      <c r="Q154" s="6" t="s">
        <v>100</v>
      </c>
      <c r="R154" s="6" t="s">
        <v>62</v>
      </c>
      <c r="S154" s="10" t="s">
        <v>322</v>
      </c>
    </row>
    <row r="155" spans="1:19">
      <c r="A155" s="13" t="s">
        <v>614</v>
      </c>
      <c r="B155" s="13" t="s">
        <v>615</v>
      </c>
      <c r="C155" s="13" t="s">
        <v>616</v>
      </c>
      <c r="D155" s="10" t="s">
        <v>87</v>
      </c>
      <c r="E155" s="10" t="s">
        <v>46</v>
      </c>
      <c r="F155" t="s">
        <v>99</v>
      </c>
      <c r="G155" s="6" t="s">
        <v>48</v>
      </c>
      <c r="H155" s="6" t="str">
        <f t="shared" si="2"/>
        <v>4 x 44</v>
      </c>
      <c r="I155" s="6" t="s">
        <v>89</v>
      </c>
      <c r="J155" s="6">
        <v>8.69</v>
      </c>
      <c r="K155" s="6">
        <v>4</v>
      </c>
      <c r="L155" s="6">
        <v>44</v>
      </c>
      <c r="M155" s="16" t="s">
        <v>60</v>
      </c>
      <c r="N155" s="16" t="s">
        <v>321</v>
      </c>
      <c r="O155" s="17">
        <v>2.6150771428571402</v>
      </c>
      <c r="P155" s="12">
        <v>5404021001216</v>
      </c>
      <c r="Q155" s="6" t="s">
        <v>100</v>
      </c>
      <c r="R155" s="6" t="s">
        <v>62</v>
      </c>
      <c r="S155" s="10" t="s">
        <v>322</v>
      </c>
    </row>
    <row r="156" spans="1:19">
      <c r="A156" s="13" t="s">
        <v>617</v>
      </c>
      <c r="B156" s="13" t="s">
        <v>618</v>
      </c>
      <c r="C156" s="13" t="s">
        <v>619</v>
      </c>
      <c r="D156" s="10" t="s">
        <v>87</v>
      </c>
      <c r="E156" s="10" t="s">
        <v>46</v>
      </c>
      <c r="F156" t="s">
        <v>620</v>
      </c>
      <c r="G156" s="6" t="s">
        <v>48</v>
      </c>
      <c r="H156" s="6" t="str">
        <f t="shared" si="2"/>
        <v>4 x 44</v>
      </c>
      <c r="I156" s="6" t="s">
        <v>89</v>
      </c>
      <c r="J156" s="6">
        <v>8.69</v>
      </c>
      <c r="K156" s="6">
        <v>4</v>
      </c>
      <c r="L156" s="6">
        <v>44</v>
      </c>
      <c r="M156" s="16" t="s">
        <v>60</v>
      </c>
      <c r="N156" s="16" t="s">
        <v>360</v>
      </c>
      <c r="O156" s="17">
        <v>2.4315799999999999</v>
      </c>
      <c r="P156" s="12">
        <v>5404021001247</v>
      </c>
      <c r="Q156" s="6" t="s">
        <v>100</v>
      </c>
      <c r="R156" s="6" t="s">
        <v>62</v>
      </c>
      <c r="S156" s="10" t="s">
        <v>322</v>
      </c>
    </row>
    <row r="157" spans="1:19">
      <c r="A157" s="13" t="s">
        <v>621</v>
      </c>
      <c r="B157" s="13" t="s">
        <v>618</v>
      </c>
      <c r="C157" s="13" t="s">
        <v>619</v>
      </c>
      <c r="D157" s="10" t="s">
        <v>87</v>
      </c>
      <c r="E157" s="10" t="s">
        <v>46</v>
      </c>
      <c r="F157" t="s">
        <v>620</v>
      </c>
      <c r="G157" s="6" t="s">
        <v>48</v>
      </c>
      <c r="H157" s="6" t="str">
        <f t="shared" si="2"/>
        <v>4 x 44</v>
      </c>
      <c r="I157" s="6" t="s">
        <v>89</v>
      </c>
      <c r="J157" s="6">
        <v>8.69</v>
      </c>
      <c r="K157" s="6">
        <v>4</v>
      </c>
      <c r="L157" s="6">
        <v>44</v>
      </c>
      <c r="M157" s="16" t="s">
        <v>60</v>
      </c>
      <c r="N157" s="16" t="s">
        <v>360</v>
      </c>
      <c r="O157" s="17">
        <v>2.4315799999999999</v>
      </c>
      <c r="P157" s="12">
        <v>5404021001247</v>
      </c>
      <c r="Q157" s="6" t="s">
        <v>100</v>
      </c>
      <c r="R157" s="6" t="s">
        <v>62</v>
      </c>
      <c r="S157" s="10" t="s">
        <v>322</v>
      </c>
    </row>
    <row r="158" spans="1:19">
      <c r="A158" s="13" t="s">
        <v>621</v>
      </c>
      <c r="B158" s="13" t="s">
        <v>618</v>
      </c>
      <c r="C158" s="13" t="s">
        <v>619</v>
      </c>
      <c r="D158" s="10" t="s">
        <v>87</v>
      </c>
      <c r="E158" s="10" t="s">
        <v>46</v>
      </c>
      <c r="F158" t="s">
        <v>620</v>
      </c>
      <c r="G158" s="6" t="s">
        <v>48</v>
      </c>
      <c r="H158" s="6" t="str">
        <f t="shared" si="2"/>
        <v>4 x 44</v>
      </c>
      <c r="I158" s="6" t="s">
        <v>89</v>
      </c>
      <c r="J158" s="6">
        <v>8.69</v>
      </c>
      <c r="K158" s="6">
        <v>4</v>
      </c>
      <c r="L158" s="6">
        <v>44</v>
      </c>
      <c r="M158" s="16" t="s">
        <v>60</v>
      </c>
      <c r="N158" s="16" t="s">
        <v>360</v>
      </c>
      <c r="O158" s="17">
        <v>2.4315799999999999</v>
      </c>
      <c r="P158" s="12">
        <v>5404021001247</v>
      </c>
      <c r="Q158" s="6" t="s">
        <v>100</v>
      </c>
      <c r="R158" s="6" t="s">
        <v>62</v>
      </c>
      <c r="S158" s="10" t="s">
        <v>322</v>
      </c>
    </row>
    <row r="159" spans="1:19">
      <c r="A159" s="13" t="s">
        <v>621</v>
      </c>
      <c r="B159" s="13" t="s">
        <v>618</v>
      </c>
      <c r="C159" s="13" t="s">
        <v>619</v>
      </c>
      <c r="D159" s="10" t="s">
        <v>87</v>
      </c>
      <c r="E159" s="10" t="s">
        <v>46</v>
      </c>
      <c r="F159" t="s">
        <v>620</v>
      </c>
      <c r="G159" s="6" t="s">
        <v>48</v>
      </c>
      <c r="H159" s="6" t="str">
        <f t="shared" si="2"/>
        <v>4 x 44</v>
      </c>
      <c r="I159" s="6" t="s">
        <v>89</v>
      </c>
      <c r="J159" s="6">
        <v>8.69</v>
      </c>
      <c r="K159" s="6">
        <v>4</v>
      </c>
      <c r="L159" s="6">
        <v>44</v>
      </c>
      <c r="M159" s="16" t="s">
        <v>60</v>
      </c>
      <c r="N159" s="16" t="s">
        <v>360</v>
      </c>
      <c r="O159" s="17">
        <v>2.4315799999999999</v>
      </c>
      <c r="P159" s="12">
        <v>5404021001247</v>
      </c>
      <c r="Q159" s="6" t="s">
        <v>100</v>
      </c>
      <c r="R159" s="6" t="s">
        <v>62</v>
      </c>
      <c r="S159" s="10" t="s">
        <v>322</v>
      </c>
    </row>
    <row r="160" spans="1:19">
      <c r="A160" s="13" t="s">
        <v>622</v>
      </c>
      <c r="B160" s="13" t="s">
        <v>623</v>
      </c>
      <c r="C160" s="13" t="s">
        <v>624</v>
      </c>
      <c r="D160" s="10" t="s">
        <v>87</v>
      </c>
      <c r="E160" s="10" t="s">
        <v>46</v>
      </c>
      <c r="F160" t="s">
        <v>625</v>
      </c>
      <c r="G160" s="10" t="s">
        <v>48</v>
      </c>
      <c r="H160" s="6" t="str">
        <f t="shared" si="2"/>
        <v>5 x 54</v>
      </c>
      <c r="I160" s="10" t="s">
        <v>89</v>
      </c>
      <c r="J160" s="10">
        <v>16.079999999999998</v>
      </c>
      <c r="K160" s="10">
        <v>5</v>
      </c>
      <c r="L160" s="10">
        <v>54</v>
      </c>
      <c r="M160" s="16" t="s">
        <v>60</v>
      </c>
      <c r="N160" s="16" t="s">
        <v>425</v>
      </c>
      <c r="O160" s="17">
        <v>3.1257885714285698</v>
      </c>
      <c r="P160" s="12">
        <v>5404021001261</v>
      </c>
      <c r="Q160" s="6" t="s">
        <v>126</v>
      </c>
      <c r="R160" s="6" t="s">
        <v>62</v>
      </c>
      <c r="S160" s="10" t="s">
        <v>322</v>
      </c>
    </row>
    <row r="161" spans="1:19">
      <c r="A161" s="13" t="s">
        <v>626</v>
      </c>
      <c r="B161" s="13" t="s">
        <v>627</v>
      </c>
      <c r="C161" s="13" t="s">
        <v>628</v>
      </c>
      <c r="D161" s="10" t="s">
        <v>87</v>
      </c>
      <c r="E161" s="10" t="s">
        <v>46</v>
      </c>
      <c r="F161" t="s">
        <v>496</v>
      </c>
      <c r="G161" s="10" t="s">
        <v>48</v>
      </c>
      <c r="H161" s="6" t="str">
        <f t="shared" si="2"/>
        <v>5 x 54</v>
      </c>
      <c r="I161" s="10" t="s">
        <v>89</v>
      </c>
      <c r="J161" s="10">
        <v>16.079999999999998</v>
      </c>
      <c r="K161" s="10">
        <v>5</v>
      </c>
      <c r="L161" s="10">
        <v>54</v>
      </c>
      <c r="M161" s="11" t="s">
        <v>95</v>
      </c>
      <c r="N161" s="16" t="s">
        <v>355</v>
      </c>
      <c r="O161" s="17">
        <v>2.6378599999999999</v>
      </c>
      <c r="P161" s="12">
        <v>5404021001278</v>
      </c>
      <c r="Q161" s="6" t="s">
        <v>126</v>
      </c>
      <c r="R161" s="6" t="s">
        <v>62</v>
      </c>
      <c r="S161" s="10" t="s">
        <v>322</v>
      </c>
    </row>
    <row r="162" spans="1:19">
      <c r="A162" s="13" t="s">
        <v>629</v>
      </c>
      <c r="B162" s="13" t="s">
        <v>630</v>
      </c>
      <c r="C162" s="13" t="s">
        <v>631</v>
      </c>
      <c r="D162" s="10" t="s">
        <v>87</v>
      </c>
      <c r="E162" s="10" t="s">
        <v>46</v>
      </c>
      <c r="F162" t="s">
        <v>632</v>
      </c>
      <c r="G162" s="6" t="s">
        <v>48</v>
      </c>
      <c r="H162" s="6" t="str">
        <f t="shared" si="2"/>
        <v>6.5 x 52</v>
      </c>
      <c r="I162" s="6" t="s">
        <v>89</v>
      </c>
      <c r="J162" s="6">
        <v>18.27</v>
      </c>
      <c r="K162" s="6">
        <v>6.5</v>
      </c>
      <c r="L162" s="6">
        <v>52</v>
      </c>
      <c r="M162" s="16" t="s">
        <v>60</v>
      </c>
      <c r="N162" s="16" t="s">
        <v>321</v>
      </c>
      <c r="O162" s="17">
        <v>3.2047571428571402</v>
      </c>
      <c r="P162" s="12">
        <v>5404021001292</v>
      </c>
      <c r="Q162" s="6" t="s">
        <v>90</v>
      </c>
      <c r="R162" s="6" t="s">
        <v>62</v>
      </c>
      <c r="S162" s="10" t="s">
        <v>322</v>
      </c>
    </row>
    <row r="163" spans="1:19">
      <c r="A163" s="13" t="s">
        <v>629</v>
      </c>
      <c r="B163" s="13" t="s">
        <v>630</v>
      </c>
      <c r="C163" s="13" t="s">
        <v>631</v>
      </c>
      <c r="D163" s="10" t="s">
        <v>87</v>
      </c>
      <c r="E163" s="10" t="s">
        <v>46</v>
      </c>
      <c r="F163" t="s">
        <v>632</v>
      </c>
      <c r="G163" s="6" t="s">
        <v>48</v>
      </c>
      <c r="H163" s="6" t="str">
        <f t="shared" si="2"/>
        <v>6.5 x 52</v>
      </c>
      <c r="I163" s="6" t="s">
        <v>89</v>
      </c>
      <c r="J163" s="6">
        <v>18.27</v>
      </c>
      <c r="K163" s="6">
        <v>6.5</v>
      </c>
      <c r="L163" s="6">
        <v>52</v>
      </c>
      <c r="M163" s="16" t="s">
        <v>60</v>
      </c>
      <c r="N163" s="16" t="s">
        <v>321</v>
      </c>
      <c r="O163" s="17">
        <v>3.2047571428571402</v>
      </c>
      <c r="P163" s="12">
        <v>5404021001292</v>
      </c>
      <c r="Q163" s="6" t="s">
        <v>90</v>
      </c>
      <c r="R163" s="6" t="s">
        <v>62</v>
      </c>
      <c r="S163" s="10" t="s">
        <v>322</v>
      </c>
    </row>
  </sheetData>
  <autoFilter ref="A2:U1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Foucaud</dc:creator>
  <cp:lastModifiedBy>Guillaume Foucaud</cp:lastModifiedBy>
  <dcterms:created xsi:type="dcterms:W3CDTF">2026-06-24T21:36:23Z</dcterms:created>
  <dcterms:modified xsi:type="dcterms:W3CDTF">2026-06-24T21:36:48Z</dcterms:modified>
</cp:coreProperties>
</file>